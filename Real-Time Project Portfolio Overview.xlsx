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BUYUO\Downloads\"/>
    </mc:Choice>
  </mc:AlternateContent>
  <xr:revisionPtr revIDLastSave="0" documentId="13_ncr:1_{974514A8-4188-4023-916D-812A112BB8D8}" xr6:coauthVersionLast="47" xr6:coauthVersionMax="47" xr10:uidLastSave="{00000000-0000-0000-0000-000000000000}"/>
  <bookViews>
    <workbookView xWindow="-120" yWindow="-120" windowWidth="29040" windowHeight="17520" activeTab="2" xr2:uid="{C7D85719-51BB-4246-9C06-BE0974047804}"/>
  </bookViews>
  <sheets>
    <sheet name="Data" sheetId="2" r:id="rId1"/>
    <sheet name="ChartData" sheetId="5" state="veryHidden" r:id="rId2"/>
    <sheet name="Dashboard" sheetId="3" r:id="rId3"/>
    <sheet name="Lis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3" l="1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P34" i="3" s="1"/>
  <c r="N34" i="3"/>
  <c r="M34" i="3"/>
  <c r="L34" i="3"/>
  <c r="O33" i="3"/>
  <c r="P33" i="3" s="1"/>
  <c r="N33" i="3"/>
  <c r="M33" i="3"/>
  <c r="L33" i="3"/>
  <c r="O32" i="3"/>
  <c r="P32" i="3" s="1"/>
  <c r="N32" i="3"/>
  <c r="M32" i="3"/>
  <c r="L32" i="3"/>
  <c r="O31" i="3"/>
  <c r="N31" i="3"/>
  <c r="M31" i="3"/>
  <c r="L31" i="3"/>
  <c r="O30" i="3"/>
  <c r="N30" i="3"/>
  <c r="M30" i="3"/>
  <c r="L30" i="3"/>
  <c r="O29" i="3"/>
  <c r="N29" i="3"/>
  <c r="M29" i="3"/>
  <c r="L29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K6" i="5"/>
  <c r="J6" i="5"/>
  <c r="K5" i="5"/>
  <c r="J5" i="5"/>
  <c r="K4" i="5"/>
  <c r="J4" i="5"/>
  <c r="K3" i="5"/>
  <c r="J3" i="5"/>
  <c r="K2" i="5"/>
  <c r="J2" i="5"/>
  <c r="H3" i="5"/>
  <c r="H2" i="5"/>
  <c r="E7" i="5"/>
  <c r="E6" i="5"/>
  <c r="E5" i="5"/>
  <c r="E4" i="5"/>
  <c r="E3" i="5"/>
  <c r="E2" i="5"/>
  <c r="B5" i="5"/>
  <c r="B4" i="5"/>
  <c r="B3" i="5"/>
  <c r="B2" i="5"/>
  <c r="G10" i="3"/>
  <c r="D10" i="3"/>
  <c r="A10" i="3"/>
  <c r="G7" i="3"/>
  <c r="D7" i="3"/>
  <c r="A7" i="3"/>
  <c r="P31" i="3" l="1"/>
  <c r="P36" i="3"/>
  <c r="P37" i="3"/>
  <c r="P35" i="3"/>
  <c r="P38" i="3"/>
  <c r="P30" i="3"/>
  <c r="P29" i="3"/>
</calcChain>
</file>

<file path=xl/sharedStrings.xml><?xml version="1.0" encoding="utf-8"?>
<sst xmlns="http://schemas.openxmlformats.org/spreadsheetml/2006/main" count="821" uniqueCount="312">
  <si>
    <t>Project ID</t>
  </si>
  <si>
    <t>Project Name</t>
  </si>
  <si>
    <t>Country</t>
  </si>
  <si>
    <t>Region</t>
  </si>
  <si>
    <t>Status</t>
  </si>
  <si>
    <t>Start Date</t>
  </si>
  <si>
    <t>End Date</t>
  </si>
  <si>
    <t>Budget_USD</t>
  </si>
  <si>
    <t>Manager</t>
  </si>
  <si>
    <t>Progress_Percent</t>
  </si>
  <si>
    <t>Planned</t>
  </si>
  <si>
    <t>Ongoing</t>
  </si>
  <si>
    <t>Completed</t>
  </si>
  <si>
    <t>Delayed</t>
  </si>
  <si>
    <t>Regions</t>
  </si>
  <si>
    <t>Africa</t>
  </si>
  <si>
    <t>Asia</t>
  </si>
  <si>
    <t>Europe</t>
  </si>
  <si>
    <t>Americas</t>
  </si>
  <si>
    <t>Asia Pacific</t>
  </si>
  <si>
    <t>Middle East</t>
  </si>
  <si>
    <t>Managers</t>
  </si>
  <si>
    <t>John Smith</t>
  </si>
  <si>
    <t>Sarah Johnson</t>
  </si>
  <si>
    <t>Michael Brown</t>
  </si>
  <si>
    <t>Emily Davis</t>
  </si>
  <si>
    <t>David Wilson</t>
  </si>
  <si>
    <t>Lisa Anderson</t>
  </si>
  <si>
    <t>Robert Taylor</t>
  </si>
  <si>
    <t>Maria Garcia</t>
  </si>
  <si>
    <t>James Martinez</t>
  </si>
  <si>
    <t>Patricia Lee</t>
  </si>
  <si>
    <t>PRJ-001</t>
  </si>
  <si>
    <t>Market Expansion N</t>
  </si>
  <si>
    <t>Singapore</t>
  </si>
  <si>
    <t>PRJ-002</t>
  </si>
  <si>
    <t>Blockchain Solution W</t>
  </si>
  <si>
    <t>Denmark</t>
  </si>
  <si>
    <t>PRJ-003</t>
  </si>
  <si>
    <t>Infrastructure Upgrade 2025</t>
  </si>
  <si>
    <t>Spain</t>
  </si>
  <si>
    <t>PRJ-004</t>
  </si>
  <si>
    <t>Brand Refresh X</t>
  </si>
  <si>
    <t>Japan</t>
  </si>
  <si>
    <t>PRJ-005</t>
  </si>
  <si>
    <t>Digital Transformation O</t>
  </si>
  <si>
    <t>UK</t>
  </si>
  <si>
    <t>PRJ-006</t>
  </si>
  <si>
    <t>Brand Refresh 2025</t>
  </si>
  <si>
    <t>Brazil</t>
  </si>
  <si>
    <t>PRJ-007</t>
  </si>
  <si>
    <t>Data Center Consolidation E</t>
  </si>
  <si>
    <t>PRJ-008</t>
  </si>
  <si>
    <t>Training Program Q</t>
  </si>
  <si>
    <t>Mexico</t>
  </si>
  <si>
    <t>PRJ-009</t>
  </si>
  <si>
    <t>Blockchain Solution 2024</t>
  </si>
  <si>
    <t>Italy</t>
  </si>
  <si>
    <t>PRJ-010</t>
  </si>
  <si>
    <t>Brand Refresh B</t>
  </si>
  <si>
    <t>South Africa</t>
  </si>
  <si>
    <t>PRJ-011</t>
  </si>
  <si>
    <t>Talent Acquisition R</t>
  </si>
  <si>
    <t>PRJ-012</t>
  </si>
  <si>
    <t>Data Center Consolidation 2026</t>
  </si>
  <si>
    <t>PRJ-013</t>
  </si>
  <si>
    <t>Mobile App Development R</t>
  </si>
  <si>
    <t>PRJ-014</t>
  </si>
  <si>
    <t>Edge Computing M</t>
  </si>
  <si>
    <t>PRJ-015</t>
  </si>
  <si>
    <t>Merger Integration 2024</t>
  </si>
  <si>
    <t>PRJ-016</t>
  </si>
  <si>
    <t>ERP Integration M</t>
  </si>
  <si>
    <t>Australia</t>
  </si>
  <si>
    <t>PRJ-017</t>
  </si>
  <si>
    <t>Network Modernization O</t>
  </si>
  <si>
    <t>PRJ-018</t>
  </si>
  <si>
    <t>Security Enhancement 2025</t>
  </si>
  <si>
    <t>PRJ-019</t>
  </si>
  <si>
    <t>Sustainability Project V</t>
  </si>
  <si>
    <t>Saudi Arabia</t>
  </si>
  <si>
    <t>PRJ-020</t>
  </si>
  <si>
    <t>Blockchain Solution O</t>
  </si>
  <si>
    <t>Poland</t>
  </si>
  <si>
    <t>PRJ-021</t>
  </si>
  <si>
    <t>Merger Integration 2025</t>
  </si>
  <si>
    <t>PRJ-022</t>
  </si>
  <si>
    <t>Norway</t>
  </si>
  <si>
    <t>PRJ-023</t>
  </si>
  <si>
    <t>Infrastructure Upgrade U</t>
  </si>
  <si>
    <t>China</t>
  </si>
  <si>
    <t>PRJ-024</t>
  </si>
  <si>
    <t>Data Center Consolidation 2025</t>
  </si>
  <si>
    <t>PRJ-025</t>
  </si>
  <si>
    <t>Blockchain Solution K</t>
  </si>
  <si>
    <t>PRJ-026</t>
  </si>
  <si>
    <t>Talent Acquisition D</t>
  </si>
  <si>
    <t>UAE</t>
  </si>
  <si>
    <t>PRJ-027</t>
  </si>
  <si>
    <t>Brand Refresh 2026</t>
  </si>
  <si>
    <t>PRJ-028</t>
  </si>
  <si>
    <t>Quality Assurance L</t>
  </si>
  <si>
    <t>Sweden</t>
  </si>
  <si>
    <t>PRJ-029</t>
  </si>
  <si>
    <t>Infrastructure Upgrade N</t>
  </si>
  <si>
    <t>PRJ-030</t>
  </si>
  <si>
    <t>AI Implementation 2024</t>
  </si>
  <si>
    <t>PRJ-031</t>
  </si>
  <si>
    <t>AI Implementation H</t>
  </si>
  <si>
    <t>PRJ-032</t>
  </si>
  <si>
    <t>Edge Computing G</t>
  </si>
  <si>
    <t>Turkey</t>
  </si>
  <si>
    <t>PRJ-033</t>
  </si>
  <si>
    <t>Network Modernization 2024</t>
  </si>
  <si>
    <t>PRJ-034</t>
  </si>
  <si>
    <t>Blockchain Solution V</t>
  </si>
  <si>
    <t>PRJ-035</t>
  </si>
  <si>
    <t>Compliance Update Y</t>
  </si>
  <si>
    <t>PRJ-036</t>
  </si>
  <si>
    <t>Sustainability Project 2026</t>
  </si>
  <si>
    <t>PRJ-037</t>
  </si>
  <si>
    <t>Cloud Migration X</t>
  </si>
  <si>
    <t>PRJ-038</t>
  </si>
  <si>
    <t>Customer Experience V</t>
  </si>
  <si>
    <t>PRJ-039</t>
  </si>
  <si>
    <t>Virtual Desktop Infrastructure 2026</t>
  </si>
  <si>
    <t>Argentina</t>
  </si>
  <si>
    <t>PRJ-040</t>
  </si>
  <si>
    <t>AI Implementation A</t>
  </si>
  <si>
    <t>Germany</t>
  </si>
  <si>
    <t>PRJ-041</t>
  </si>
  <si>
    <t>Digital Transformation V</t>
  </si>
  <si>
    <t>PRJ-042</t>
  </si>
  <si>
    <t>Cybersecurity Initiative 2025</t>
  </si>
  <si>
    <t>India</t>
  </si>
  <si>
    <t>PRJ-043</t>
  </si>
  <si>
    <t>Process Automation Z</t>
  </si>
  <si>
    <t>PRJ-044</t>
  </si>
  <si>
    <t>R&amp;D Initiative C</t>
  </si>
  <si>
    <t>PRJ-045</t>
  </si>
  <si>
    <t>PRJ-046</t>
  </si>
  <si>
    <t>Compliance Update T</t>
  </si>
  <si>
    <t>PRJ-047</t>
  </si>
  <si>
    <t>Brand Refresh T</t>
  </si>
  <si>
    <t>PRJ-048</t>
  </si>
  <si>
    <t>Blockchain Solution 2026</t>
  </si>
  <si>
    <t>PRJ-049</t>
  </si>
  <si>
    <t>Training Program C</t>
  </si>
  <si>
    <t>France</t>
  </si>
  <si>
    <t>PRJ-050</t>
  </si>
  <si>
    <t>Blockchain Solution B</t>
  </si>
  <si>
    <t>PRJ-051</t>
  </si>
  <si>
    <t>PRJ-052</t>
  </si>
  <si>
    <t>Customer Experience M</t>
  </si>
  <si>
    <t>PRJ-053</t>
  </si>
  <si>
    <t>Digital Transformation Y</t>
  </si>
  <si>
    <t>Canada</t>
  </si>
  <si>
    <t>PRJ-054</t>
  </si>
  <si>
    <t>Virtual Desktop Infrastructure 2024</t>
  </si>
  <si>
    <t>PRJ-055</t>
  </si>
  <si>
    <t>Blockchain Solution U</t>
  </si>
  <si>
    <t>PRJ-056</t>
  </si>
  <si>
    <t>Supply Chain Optimization F</t>
  </si>
  <si>
    <t>PRJ-057</t>
  </si>
  <si>
    <t>PRJ-058</t>
  </si>
  <si>
    <t>Security Enhancement B</t>
  </si>
  <si>
    <t>PRJ-059</t>
  </si>
  <si>
    <t>5G Implementation O</t>
  </si>
  <si>
    <t>PRJ-060</t>
  </si>
  <si>
    <t>PRJ-061</t>
  </si>
  <si>
    <t>Training Program H</t>
  </si>
  <si>
    <t>PRJ-062</t>
  </si>
  <si>
    <t>Digital Transformation I</t>
  </si>
  <si>
    <t>PRJ-063</t>
  </si>
  <si>
    <t>Process Automation 2026</t>
  </si>
  <si>
    <t>PRJ-064</t>
  </si>
  <si>
    <t>Virtual Desktop Infrastructure O</t>
  </si>
  <si>
    <t>PRJ-065</t>
  </si>
  <si>
    <t>Security Enhancement R</t>
  </si>
  <si>
    <t>PRJ-066</t>
  </si>
  <si>
    <t>Market Expansion 2026</t>
  </si>
  <si>
    <t>PRJ-067</t>
  </si>
  <si>
    <t>Merger Integration V</t>
  </si>
  <si>
    <t>PRJ-068</t>
  </si>
  <si>
    <t>Market Expansion G</t>
  </si>
  <si>
    <t>PRJ-069</t>
  </si>
  <si>
    <t>PRJ-070</t>
  </si>
  <si>
    <t>IoT Deployment P</t>
  </si>
  <si>
    <t>PRJ-071</t>
  </si>
  <si>
    <t>Brand Refresh I</t>
  </si>
  <si>
    <t>PRJ-072</t>
  </si>
  <si>
    <t>IoT Deployment 2024</t>
  </si>
  <si>
    <t>PRJ-073</t>
  </si>
  <si>
    <t>Merger Integration F</t>
  </si>
  <si>
    <t>PRJ-074</t>
  </si>
  <si>
    <t>Sustainability Project J</t>
  </si>
  <si>
    <t>PRJ-075</t>
  </si>
  <si>
    <t>Quality Assurance 2025</t>
  </si>
  <si>
    <t>PRJ-076</t>
  </si>
  <si>
    <t>ERP Integration P</t>
  </si>
  <si>
    <t>PRJ-077</t>
  </si>
  <si>
    <t>Blockchain Solution Q</t>
  </si>
  <si>
    <t>PRJ-078</t>
  </si>
  <si>
    <t>Product Launch 2024</t>
  </si>
  <si>
    <t>PRJ-079</t>
  </si>
  <si>
    <t>Brand Refresh P</t>
  </si>
  <si>
    <t>PRJ-080</t>
  </si>
  <si>
    <t>Virtual Desktop Infrastructure I</t>
  </si>
  <si>
    <t>PRJ-081</t>
  </si>
  <si>
    <t>Compliance Update 2025</t>
  </si>
  <si>
    <t>PRJ-082</t>
  </si>
  <si>
    <t>Sustainability Project N</t>
  </si>
  <si>
    <t>PRJ-083</t>
  </si>
  <si>
    <t>IoT Deployment F</t>
  </si>
  <si>
    <t>PRJ-084</t>
  </si>
  <si>
    <t>Customer Experience 2024</t>
  </si>
  <si>
    <t>PRJ-085</t>
  </si>
  <si>
    <t>Virtual Desktop Infrastructure D</t>
  </si>
  <si>
    <t>Israel</t>
  </si>
  <si>
    <t>PRJ-086</t>
  </si>
  <si>
    <t>Data Center Consolidation P</t>
  </si>
  <si>
    <t>Netherlands</t>
  </si>
  <si>
    <t>PRJ-087</t>
  </si>
  <si>
    <t>Talent Acquisition 2026</t>
  </si>
  <si>
    <t>PRJ-088</t>
  </si>
  <si>
    <t>Supply Chain Optimization Z</t>
  </si>
  <si>
    <t>PRJ-089</t>
  </si>
  <si>
    <t>PRJ-090</t>
  </si>
  <si>
    <t>PRJ-091</t>
  </si>
  <si>
    <t>Brand Refresh H</t>
  </si>
  <si>
    <t>PRJ-092</t>
  </si>
  <si>
    <t>Process Automation X</t>
  </si>
  <si>
    <t>PRJ-093</t>
  </si>
  <si>
    <t>Quality Assurance 2024</t>
  </si>
  <si>
    <t>PRJ-094</t>
  </si>
  <si>
    <t>Merger Integration W</t>
  </si>
  <si>
    <t>PRJ-095</t>
  </si>
  <si>
    <t>Compliance Update W</t>
  </si>
  <si>
    <t>PRJ-096</t>
  </si>
  <si>
    <t>PRJ-097</t>
  </si>
  <si>
    <t>Data Center Consolidation Q</t>
  </si>
  <si>
    <t>PRJ-098</t>
  </si>
  <si>
    <t>Cybersecurity Initiative P</t>
  </si>
  <si>
    <t>PRJ-099</t>
  </si>
  <si>
    <t>PRJ-100</t>
  </si>
  <si>
    <t>Sustainability Project F</t>
  </si>
  <si>
    <t>PRJ-101</t>
  </si>
  <si>
    <t>Infrastructure Upgrade X</t>
  </si>
  <si>
    <t>PRJ-102</t>
  </si>
  <si>
    <t>IoT Deployment 2026</t>
  </si>
  <si>
    <t>PRJ-103</t>
  </si>
  <si>
    <t>PRJ-104</t>
  </si>
  <si>
    <t>IoT Deployment V</t>
  </si>
  <si>
    <t>PRJ-105</t>
  </si>
  <si>
    <t>PRJ-106</t>
  </si>
  <si>
    <t>Brand Refresh S</t>
  </si>
  <si>
    <t>PRJ-107</t>
  </si>
  <si>
    <t>Supply Chain Optimization C</t>
  </si>
  <si>
    <t>PRJ-108</t>
  </si>
  <si>
    <t>Mobile App Development 2026</t>
  </si>
  <si>
    <t>PRJ-109</t>
  </si>
  <si>
    <t>Edge Computing W</t>
  </si>
  <si>
    <t>PRJ-110</t>
  </si>
  <si>
    <t>Supply Chain Optimization I</t>
  </si>
  <si>
    <t>PRJ-111</t>
  </si>
  <si>
    <t>Customer Experience 2025</t>
  </si>
  <si>
    <t>PRJ-112</t>
  </si>
  <si>
    <t>Training Program X</t>
  </si>
  <si>
    <t>PRJ-113</t>
  </si>
  <si>
    <t>Infrastructure Upgrade V</t>
  </si>
  <si>
    <t>PRJ-114</t>
  </si>
  <si>
    <t>Supply Chain Optimization 2025</t>
  </si>
  <si>
    <t>PRJ-115</t>
  </si>
  <si>
    <t>Merger Integration L</t>
  </si>
  <si>
    <t>PRJ-116</t>
  </si>
  <si>
    <t>Compliance Update E</t>
  </si>
  <si>
    <t>Chile</t>
  </si>
  <si>
    <t>PRJ-117</t>
  </si>
  <si>
    <t>PRJ-118</t>
  </si>
  <si>
    <t>Product Launch K</t>
  </si>
  <si>
    <t>PRJ-119</t>
  </si>
  <si>
    <t>Data Center Consolidation A</t>
  </si>
  <si>
    <t>PRJ-120</t>
  </si>
  <si>
    <t>Real-Time Project Portfolio Overview</t>
  </si>
  <si>
    <t>As of:</t>
  </si>
  <si>
    <t>TOTAL PROJECTS</t>
  </si>
  <si>
    <t>TOTAL BUDGET</t>
  </si>
  <si>
    <t>AVG BUDGET/PROJECT</t>
  </si>
  <si>
    <t>COMPLETED</t>
  </si>
  <si>
    <t>ONGOING</t>
  </si>
  <si>
    <t>DELAYED</t>
  </si>
  <si>
    <t>Count</t>
  </si>
  <si>
    <t>Budget</t>
  </si>
  <si>
    <t>Metric</t>
  </si>
  <si>
    <t>Value</t>
  </si>
  <si>
    <t>Overall Progress</t>
  </si>
  <si>
    <t>Completion Rate</t>
  </si>
  <si>
    <t>Project</t>
  </si>
  <si>
    <t>Total Projects</t>
  </si>
  <si>
    <t>Total Budget</t>
  </si>
  <si>
    <t>Avg Budget</t>
  </si>
  <si>
    <t>On-Time Rate</t>
  </si>
  <si>
    <t>Projects</t>
  </si>
  <si>
    <t>Avg Progress</t>
  </si>
  <si>
    <t>Performance</t>
  </si>
  <si>
    <t>Progress</t>
  </si>
  <si>
    <t>EXECUTIVE PROJECT DASHBOARD</t>
  </si>
  <si>
    <t>KEY PERFORMANCE INDICATORS</t>
  </si>
  <si>
    <t>PERFORMANCE VISUALIZATIONS</t>
  </si>
  <si>
    <t>REGIONAL PERFORMANCE SUMMARY</t>
  </si>
  <si>
    <t>TOP PERFORMING MANAGERS</t>
  </si>
  <si>
    <t>RECENT PROJECT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</si>
</sst>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d\,\ yyyy\ hh:mm\ AM/PM"/>
    <numFmt numFmtId="165" formatCode="&quot;€&quot;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4"/>
      <color rgb="FF003366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74C3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14" fontId="0" fillId="0" borderId="0" xfId="0" applyNumberFormat="1"/>
    <xf numFmtId="0" fontId="3" fillId="0" borderId="0" xfId="0" applyFont="1"/>
    <xf numFmtId="164" fontId="1" fillId="0" borderId="0" xfId="0" applyNumberFormat="1" applyFont="1"/>
    <xf numFmtId="0" fontId="2" fillId="2" borderId="1" xfId="0" applyFont="1" applyFill="1" applyBorder="1"/>
    <xf numFmtId="0" fontId="0" fillId="0" borderId="1" xfId="0" applyBorder="1"/>
    <xf numFmtId="165" fontId="0" fillId="0" borderId="1" xfId="0" applyNumberFormat="1" applyBorder="1"/>
    <xf numFmtId="0" fontId="0" fillId="6" borderId="1" xfId="0" applyFill="1" applyBorder="1"/>
    <xf numFmtId="0" fontId="4" fillId="2" borderId="0" xfId="0" applyFont="1" applyFill="1"/>
    <xf numFmtId="0" fontId="2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GB"/>
              <a:t>Project Status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Count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ChartData!$A$2:$A$5</c:f>
              <c:strCache>
                <c:ptCount val="4"/>
                <c:pt idx="0">
                  <c:v>Completed</c:v>
                </c:pt>
                <c:pt idx="1">
                  <c:v>Ongoing</c:v>
                </c:pt>
                <c:pt idx="2">
                  <c:v>Delayed</c:v>
                </c:pt>
                <c:pt idx="3">
                  <c:v>Planned</c:v>
                </c:pt>
              </c:strCache>
            </c:strRef>
          </c:cat>
          <c:val>
            <c:numRef>
              <c:f>ChartData!$B$2:$B$5</c:f>
              <c:numCache>
                <c:formatCode>General</c:formatCode>
                <c:ptCount val="4"/>
                <c:pt idx="0">
                  <c:v>28</c:v>
                </c:pt>
                <c:pt idx="1">
                  <c:v>40</c:v>
                </c:pt>
                <c:pt idx="2">
                  <c:v>28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8-4CD2-9BB2-DBB14AF49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GB"/>
              <a:t>Budget by Region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ChartData!$E$1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strRef>
              <c:f>ChartData!$D$2:$D$7</c:f>
              <c:strCache>
                <c:ptCount val="6"/>
                <c:pt idx="0">
                  <c:v>Americas</c:v>
                </c:pt>
                <c:pt idx="1">
                  <c:v>Europe</c:v>
                </c:pt>
                <c:pt idx="2">
                  <c:v>Asia</c:v>
                </c:pt>
                <c:pt idx="3">
                  <c:v>Asia Pacific</c:v>
                </c:pt>
                <c:pt idx="4">
                  <c:v>Middle East</c:v>
                </c:pt>
                <c:pt idx="5">
                  <c:v>Africa</c:v>
                </c:pt>
              </c:strCache>
            </c:strRef>
          </c:cat>
          <c:val>
            <c:numRef>
              <c:f>ChartData!$E$2:$E$7</c:f>
              <c:numCache>
                <c:formatCode>General</c:formatCode>
                <c:ptCount val="6"/>
                <c:pt idx="0">
                  <c:v>155174577.53000003</c:v>
                </c:pt>
                <c:pt idx="1">
                  <c:v>223521924.19</c:v>
                </c:pt>
                <c:pt idx="2">
                  <c:v>78875519.639999986</c:v>
                </c:pt>
                <c:pt idx="3">
                  <c:v>65669292.859999999</c:v>
                </c:pt>
                <c:pt idx="4">
                  <c:v>75386943.879999995</c:v>
                </c:pt>
                <c:pt idx="5">
                  <c:v>26838423.539999999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4-497F-8916-F9D36A998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441984"/>
        <c:axId val="469442344"/>
      </c:barChart>
      <c:catAx>
        <c:axId val="46944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9442344"/>
        <c:crosses val="autoZero"/>
        <c:auto val="1"/>
        <c:lblAlgn val="ctr"/>
        <c:lblOffset val="100"/>
        <c:noMultiLvlLbl val="0"/>
      </c:catAx>
      <c:valAx>
        <c:axId val="469442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9441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GB"/>
              <a:t>Overall Performance Metrics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ChartData!$H$1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ChartData!$G$2:$G$3</c:f>
              <c:strCache>
                <c:ptCount val="2"/>
                <c:pt idx="0">
                  <c:v>Overall Progress</c:v>
                </c:pt>
                <c:pt idx="1">
                  <c:v>Completion Rate</c:v>
                </c:pt>
              </c:strCache>
            </c:strRef>
          </c:cat>
          <c:val>
            <c:numRef>
              <c:f>ChartData!$H$2:$H$3</c:f>
              <c:numCache>
                <c:formatCode>General</c:formatCode>
                <c:ptCount val="2"/>
                <c:pt idx="0">
                  <c:v>59.174999999999997</c:v>
                </c:pt>
                <c:pt idx="1">
                  <c:v>23.3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7-491D-81D3-A8CFD0578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443784"/>
        <c:axId val="469437664"/>
      </c:barChart>
      <c:catAx>
        <c:axId val="469443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69437664"/>
        <c:crosses val="autoZero"/>
        <c:auto val="1"/>
        <c:lblAlgn val="ctr"/>
        <c:lblOffset val="100"/>
        <c:noMultiLvlLbl val="0"/>
      </c:catAx>
      <c:valAx>
        <c:axId val="46943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9443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GB"/>
              <a:t>Top 5 Projects by Budget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ChartData!$K$1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strRef>
              <c:f>ChartData!$J$2:$J$6</c:f>
              <c:strCache>
                <c:ptCount val="5"/>
                <c:pt idx="0">
                  <c:v>Brand Refresh X</c:v>
                </c:pt>
                <c:pt idx="1">
                  <c:v>Customer Experience 2024</c:v>
                </c:pt>
                <c:pt idx="2">
                  <c:v>Blockchain Solution 2024</c:v>
                </c:pt>
                <c:pt idx="3">
                  <c:v>Sustainability Project J</c:v>
                </c:pt>
                <c:pt idx="4">
                  <c:v>Talent Acquisition 2026</c:v>
                </c:pt>
              </c:strCache>
            </c:strRef>
          </c:cat>
          <c:val>
            <c:numRef>
              <c:f>ChartData!$K$2:$K$6</c:f>
              <c:numCache>
                <c:formatCode>General</c:formatCode>
                <c:ptCount val="5"/>
                <c:pt idx="0">
                  <c:v>9994204.1799999997</c:v>
                </c:pt>
                <c:pt idx="1">
                  <c:v>9798312.1500000004</c:v>
                </c:pt>
                <c:pt idx="2">
                  <c:v>9791422.9000000004</c:v>
                </c:pt>
                <c:pt idx="3">
                  <c:v>9686749.3200000003</c:v>
                </c:pt>
                <c:pt idx="4">
                  <c:v>9645878.1899999995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1-4EDF-9C02-4212283E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443424"/>
        <c:axId val="469433344"/>
      </c:barChart>
      <c:catAx>
        <c:axId val="469443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69433344"/>
        <c:crosses val="autoZero"/>
        <c:auto val="1"/>
        <c:lblAlgn val="ctr"/>
        <c:lblOffset val="100"/>
        <c:noMultiLvlLbl val="0"/>
      </c:catAx>
      <c:valAx>
        <c:axId val="4694333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6944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57151</xdr:colOff>
      <xdr:row>1</xdr:row>
      <xdr:rowOff>0</xdr:rowOff>
    </xdr:from>
    <xdr:to>
      <xdr:col>13</xdr:col>
      <xdr:colOff>400050</xdr:colOff>
      <xdr:row>13</xdr:row>
      <xdr:rowOff>0</xdr:rowOff>
    </xdr:to>
    <xdr:graphicFrame macro="">
      <xdr:nvGraphicFramePr>
        <xdr:cNvPr id="2" name="StatusChart">
          <a:extLst>
            <a:ext uri="{FF2B5EF4-FFF2-40B4-BE49-F238E27FC236}">
              <a16:creationId xmlns:a16="http://schemas.microsoft.com/office/drawing/2014/main" id="{D2F7E991-C21D-C0DA-C9E8-1EA4D639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447674</xdr:colOff>
      <xdr:row>1</xdr:row>
      <xdr:rowOff>0</xdr:rowOff>
    </xdr:from>
    <xdr:to>
      <xdr:col>20</xdr:col>
      <xdr:colOff>180975</xdr:colOff>
      <xdr:row>13</xdr:row>
      <xdr:rowOff>0</xdr:rowOff>
    </xdr:to>
    <xdr:graphicFrame macro="">
      <xdr:nvGraphicFramePr>
        <xdr:cNvPr id="3" name="RegionalChart">
          <a:extLst>
            <a:ext uri="{FF2B5EF4-FFF2-40B4-BE49-F238E27FC236}">
              <a16:creationId xmlns:a16="http://schemas.microsoft.com/office/drawing/2014/main" id="{8927C6D4-423E-BBA1-834C-4C5ACE0B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219075</xdr:colOff>
      <xdr:row>0</xdr:row>
      <xdr:rowOff>396875</xdr:rowOff>
    </xdr:from>
    <xdr:to>
      <xdr:col>25</xdr:col>
      <xdr:colOff>476250</xdr:colOff>
      <xdr:row>13</xdr:row>
      <xdr:rowOff>9525</xdr:rowOff>
    </xdr:to>
    <xdr:graphicFrame macro="">
      <xdr:nvGraphicFramePr>
        <xdr:cNvPr id="4" name="ProgressChart">
          <a:extLst>
            <a:ext uri="{FF2B5EF4-FFF2-40B4-BE49-F238E27FC236}">
              <a16:creationId xmlns:a16="http://schemas.microsoft.com/office/drawing/2014/main" id="{32010687-35A8-2AC4-5417-A95E60DF4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34926</xdr:colOff>
      <xdr:row>13</xdr:row>
      <xdr:rowOff>47625</xdr:rowOff>
    </xdr:from>
    <xdr:to>
      <xdr:col>25</xdr:col>
      <xdr:colOff>514350</xdr:colOff>
      <xdr:row>24</xdr:row>
      <xdr:rowOff>180975</xdr:rowOff>
    </xdr:to>
    <xdr:graphicFrame macro="">
      <xdr:nvGraphicFramePr>
        <xdr:cNvPr id="5" name="TopProjectsChart">
          <a:extLst>
            <a:ext uri="{FF2B5EF4-FFF2-40B4-BE49-F238E27FC236}">
              <a16:creationId xmlns:a16="http://schemas.microsoft.com/office/drawing/2014/main" id="{178F11F9-B0ED-EB5B-5EFD-8BAA02F13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BD70C-5A8C-42DE-A535-65AD266FEF3D}" name="ProjectTable" displayName="ProjectTable" ref="A1:J121" totalsRowShown="0" headerRowDxfId="0">
  <autoFilter ref="A1:J121" xr:uid="{7AFBD70C-5A8C-42DE-A535-65AD266FEF3D}"/>
  <tableColumns count="10">
    <tableColumn id="1" xr3:uid="{CBDE65D8-C6B3-4CBC-ADCF-5A5C156AFD31}" name="Project ID"/>
    <tableColumn id="2" xr3:uid="{7640EC6C-FAB5-4B6E-8208-A63A64B791A3}" name="Project Name"/>
    <tableColumn id="3" xr3:uid="{301D2ECC-6CB6-48EC-926A-9620DCE9BAE0}" name="Country"/>
    <tableColumn id="4" xr3:uid="{0068EA4D-D691-401E-8239-32C0B823C4E8}" name="Region"/>
    <tableColumn id="5" xr3:uid="{5CA1F24D-DA3D-4B45-A702-74E25464E169}" name="Status"/>
    <tableColumn id="6" xr3:uid="{F49E9B1D-5DA9-4DD7-B8E7-53275E87DBA0}" name="Start Date"/>
    <tableColumn id="7" xr3:uid="{3AD45999-5448-4496-AAED-122E0D1BDEEA}" name="End Date"/>
    <tableColumn id="8" xr3:uid="{196D29DB-26DA-42CF-B739-C10B131796A5}" name="Budget_USD"/>
    <tableColumn id="9" xr3:uid="{9773EACB-46CB-4DC4-B292-E5C2FFF8E72E}" name="Manager"/>
    <tableColumn id="10" xr3:uid="{5281CA26-695D-43A4-A90B-31821CBD378E}" name="Progress_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8929-9956-481B-B5D6-E10E672D300F}">
  <sheetPr codeName="Sheet2"/>
  <dimension ref="A1:J121"/>
  <sheetViews>
    <sheetView topLeftCell="A19" workbookViewId="0">
      <selection activeCell="J122" sqref="J122"/>
    </sheetView>
  </sheetViews>
  <sheetFormatPr defaultRowHeight="15" x14ac:dyDescent="0.25"/>
  <cols>
    <col min="1" max="1" width="11.42578125" customWidth="1"/>
    <col min="2" max="2" width="32" bestFit="1" customWidth="1"/>
    <col min="3" max="3" width="12.28515625" bestFit="1" customWidth="1"/>
    <col min="4" max="4" width="11.28515625" bestFit="1" customWidth="1"/>
    <col min="5" max="5" width="8.42578125" customWidth="1"/>
    <col min="6" max="6" width="12.28515625" bestFit="1" customWidth="1"/>
    <col min="7" max="7" width="11.42578125" bestFit="1" customWidth="1"/>
    <col min="8" max="8" width="14.28515625" bestFit="1" customWidth="1"/>
    <col min="9" max="9" width="14.7109375" bestFit="1" customWidth="1"/>
    <col min="10" max="10" width="19.14062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32</v>
      </c>
      <c r="B2" t="s">
        <v>33</v>
      </c>
      <c r="C2" t="s">
        <v>34</v>
      </c>
      <c r="D2" t="s">
        <v>19</v>
      </c>
      <c r="E2" t="s">
        <v>11</v>
      </c>
      <c r="F2" s="3">
        <v>45200</v>
      </c>
      <c r="G2" s="3">
        <v>45657</v>
      </c>
      <c r="H2">
        <v>7119475.21</v>
      </c>
      <c r="I2" t="s">
        <v>22</v>
      </c>
      <c r="J2">
        <v>90</v>
      </c>
    </row>
    <row r="3" spans="1:10" x14ac:dyDescent="0.25">
      <c r="A3" t="s">
        <v>35</v>
      </c>
      <c r="B3" t="s">
        <v>36</v>
      </c>
      <c r="C3" t="s">
        <v>37</v>
      </c>
      <c r="D3" t="s">
        <v>17</v>
      </c>
      <c r="E3" t="s">
        <v>11</v>
      </c>
      <c r="F3" s="3">
        <v>45963</v>
      </c>
      <c r="G3" s="3">
        <v>46489</v>
      </c>
      <c r="H3">
        <v>5296197.4400000004</v>
      </c>
      <c r="I3" t="s">
        <v>29</v>
      </c>
      <c r="J3">
        <v>45</v>
      </c>
    </row>
    <row r="4" spans="1:10" x14ac:dyDescent="0.25">
      <c r="A4" t="s">
        <v>38</v>
      </c>
      <c r="B4" t="s">
        <v>39</v>
      </c>
      <c r="C4" t="s">
        <v>40</v>
      </c>
      <c r="D4" t="s">
        <v>17</v>
      </c>
      <c r="E4" t="s">
        <v>11</v>
      </c>
      <c r="F4" s="3">
        <v>45512</v>
      </c>
      <c r="G4" s="3">
        <v>45793</v>
      </c>
      <c r="H4">
        <v>8263561.0599999996</v>
      </c>
      <c r="I4" t="s">
        <v>27</v>
      </c>
      <c r="J4">
        <v>78</v>
      </c>
    </row>
    <row r="5" spans="1:10" x14ac:dyDescent="0.25">
      <c r="A5" t="s">
        <v>41</v>
      </c>
      <c r="B5" t="s">
        <v>42</v>
      </c>
      <c r="C5" t="s">
        <v>43</v>
      </c>
      <c r="D5" t="s">
        <v>16</v>
      </c>
      <c r="E5" t="s">
        <v>12</v>
      </c>
      <c r="F5" s="3">
        <v>45731</v>
      </c>
      <c r="G5" s="3">
        <v>45799</v>
      </c>
      <c r="H5">
        <v>9994204.1799999997</v>
      </c>
      <c r="I5" t="s">
        <v>28</v>
      </c>
      <c r="J5">
        <v>100</v>
      </c>
    </row>
    <row r="6" spans="1:10" x14ac:dyDescent="0.25">
      <c r="A6" t="s">
        <v>44</v>
      </c>
      <c r="B6" t="s">
        <v>45</v>
      </c>
      <c r="C6" t="s">
        <v>46</v>
      </c>
      <c r="D6" t="s">
        <v>17</v>
      </c>
      <c r="E6" t="s">
        <v>10</v>
      </c>
      <c r="F6" s="3">
        <v>45749</v>
      </c>
      <c r="G6" s="3">
        <v>45946</v>
      </c>
      <c r="H6">
        <v>3079607.9</v>
      </c>
      <c r="I6" t="s">
        <v>31</v>
      </c>
      <c r="J6">
        <v>7</v>
      </c>
    </row>
    <row r="7" spans="1:10" x14ac:dyDescent="0.25">
      <c r="A7" t="s">
        <v>47</v>
      </c>
      <c r="B7" t="s">
        <v>48</v>
      </c>
      <c r="C7" t="s">
        <v>49</v>
      </c>
      <c r="D7" t="s">
        <v>18</v>
      </c>
      <c r="E7" t="s">
        <v>10</v>
      </c>
      <c r="F7" s="3">
        <v>45150</v>
      </c>
      <c r="G7" s="3">
        <v>45390</v>
      </c>
      <c r="H7">
        <v>3329441.45</v>
      </c>
      <c r="I7" t="s">
        <v>28</v>
      </c>
      <c r="J7">
        <v>14</v>
      </c>
    </row>
    <row r="8" spans="1:10" x14ac:dyDescent="0.25">
      <c r="A8" t="s">
        <v>50</v>
      </c>
      <c r="B8" t="s">
        <v>51</v>
      </c>
      <c r="C8" t="s">
        <v>34</v>
      </c>
      <c r="D8" t="s">
        <v>19</v>
      </c>
      <c r="E8" t="s">
        <v>10</v>
      </c>
      <c r="F8" s="3">
        <v>45604</v>
      </c>
      <c r="G8" s="3">
        <v>45980</v>
      </c>
      <c r="H8">
        <v>2967683.93</v>
      </c>
      <c r="I8" t="s">
        <v>31</v>
      </c>
      <c r="J8">
        <v>100</v>
      </c>
    </row>
    <row r="9" spans="1:10" x14ac:dyDescent="0.25">
      <c r="A9" t="s">
        <v>52</v>
      </c>
      <c r="B9" t="s">
        <v>53</v>
      </c>
      <c r="C9" t="s">
        <v>54</v>
      </c>
      <c r="D9" t="s">
        <v>18</v>
      </c>
      <c r="E9" t="s">
        <v>10</v>
      </c>
      <c r="F9" s="3">
        <v>45561</v>
      </c>
      <c r="G9" s="3">
        <v>45955</v>
      </c>
      <c r="H9">
        <v>5479269.8499999996</v>
      </c>
      <c r="I9" t="s">
        <v>31</v>
      </c>
      <c r="J9">
        <v>0</v>
      </c>
    </row>
    <row r="10" spans="1:10" x14ac:dyDescent="0.25">
      <c r="A10" t="s">
        <v>55</v>
      </c>
      <c r="B10" t="s">
        <v>56</v>
      </c>
      <c r="C10" t="s">
        <v>57</v>
      </c>
      <c r="D10" t="s">
        <v>17</v>
      </c>
      <c r="E10" t="s">
        <v>12</v>
      </c>
      <c r="F10" s="3">
        <v>45424</v>
      </c>
      <c r="G10" s="3">
        <v>45552</v>
      </c>
      <c r="H10">
        <v>650375.56000000006</v>
      </c>
      <c r="I10" t="s">
        <v>24</v>
      </c>
      <c r="J10">
        <v>100</v>
      </c>
    </row>
    <row r="11" spans="1:10" x14ac:dyDescent="0.25">
      <c r="A11" t="s">
        <v>58</v>
      </c>
      <c r="B11" t="s">
        <v>59</v>
      </c>
      <c r="C11" t="s">
        <v>60</v>
      </c>
      <c r="D11" t="s">
        <v>15</v>
      </c>
      <c r="E11" t="s">
        <v>11</v>
      </c>
      <c r="F11" s="3">
        <v>45336</v>
      </c>
      <c r="G11" s="3">
        <v>45609</v>
      </c>
      <c r="H11">
        <v>5466495.0800000001</v>
      </c>
      <c r="I11" t="s">
        <v>23</v>
      </c>
      <c r="J11">
        <v>64</v>
      </c>
    </row>
    <row r="12" spans="1:10" x14ac:dyDescent="0.25">
      <c r="A12" t="s">
        <v>61</v>
      </c>
      <c r="B12" t="s">
        <v>62</v>
      </c>
      <c r="C12" t="s">
        <v>57</v>
      </c>
      <c r="D12" t="s">
        <v>17</v>
      </c>
      <c r="E12" t="s">
        <v>11</v>
      </c>
      <c r="F12" s="3">
        <v>45212</v>
      </c>
      <c r="G12" s="3">
        <v>45667</v>
      </c>
      <c r="H12">
        <v>8344028.7199999997</v>
      </c>
      <c r="I12" t="s">
        <v>22</v>
      </c>
      <c r="J12">
        <v>100</v>
      </c>
    </row>
    <row r="13" spans="1:10" x14ac:dyDescent="0.25">
      <c r="A13" t="s">
        <v>63</v>
      </c>
      <c r="B13" t="s">
        <v>64</v>
      </c>
      <c r="C13" t="s">
        <v>46</v>
      </c>
      <c r="D13" t="s">
        <v>17</v>
      </c>
      <c r="E13" t="s">
        <v>11</v>
      </c>
      <c r="F13" s="3">
        <v>44942</v>
      </c>
      <c r="G13" s="3">
        <v>45361</v>
      </c>
      <c r="H13">
        <v>8291377.1200000001</v>
      </c>
      <c r="I13" t="s">
        <v>22</v>
      </c>
      <c r="J13">
        <v>90</v>
      </c>
    </row>
    <row r="14" spans="1:10" x14ac:dyDescent="0.25">
      <c r="A14" t="s">
        <v>65</v>
      </c>
      <c r="B14" t="s">
        <v>66</v>
      </c>
      <c r="C14" t="s">
        <v>54</v>
      </c>
      <c r="D14" t="s">
        <v>18</v>
      </c>
      <c r="E14" t="s">
        <v>11</v>
      </c>
      <c r="F14" s="3">
        <v>45196</v>
      </c>
      <c r="G14" s="3">
        <v>45569</v>
      </c>
      <c r="H14">
        <v>7601519.9900000002</v>
      </c>
      <c r="I14" t="s">
        <v>26</v>
      </c>
      <c r="J14">
        <v>26</v>
      </c>
    </row>
    <row r="15" spans="1:10" x14ac:dyDescent="0.25">
      <c r="A15" t="s">
        <v>67</v>
      </c>
      <c r="B15" t="s">
        <v>68</v>
      </c>
      <c r="C15" t="s">
        <v>43</v>
      </c>
      <c r="D15" t="s">
        <v>16</v>
      </c>
      <c r="E15" t="s">
        <v>11</v>
      </c>
      <c r="F15" s="3">
        <v>45143</v>
      </c>
      <c r="G15" s="3">
        <v>45661</v>
      </c>
      <c r="H15">
        <v>4494238.7300000004</v>
      </c>
      <c r="I15" t="s">
        <v>24</v>
      </c>
      <c r="J15">
        <v>26</v>
      </c>
    </row>
    <row r="16" spans="1:10" x14ac:dyDescent="0.25">
      <c r="A16" t="s">
        <v>69</v>
      </c>
      <c r="B16" t="s">
        <v>70</v>
      </c>
      <c r="C16" t="s">
        <v>49</v>
      </c>
      <c r="D16" t="s">
        <v>18</v>
      </c>
      <c r="E16" t="s">
        <v>12</v>
      </c>
      <c r="F16" s="3">
        <v>44958</v>
      </c>
      <c r="G16" s="3">
        <v>45105</v>
      </c>
      <c r="H16">
        <v>7922275.9800000004</v>
      </c>
      <c r="I16" t="s">
        <v>24</v>
      </c>
      <c r="J16">
        <v>100</v>
      </c>
    </row>
    <row r="17" spans="1:10" x14ac:dyDescent="0.25">
      <c r="A17" t="s">
        <v>71</v>
      </c>
      <c r="B17" t="s">
        <v>72</v>
      </c>
      <c r="C17" t="s">
        <v>73</v>
      </c>
      <c r="D17" t="s">
        <v>19</v>
      </c>
      <c r="E17" t="s">
        <v>11</v>
      </c>
      <c r="F17" s="3">
        <v>45083</v>
      </c>
      <c r="G17" s="3">
        <v>45578</v>
      </c>
      <c r="H17">
        <v>7573592.4000000004</v>
      </c>
      <c r="I17" t="s">
        <v>31</v>
      </c>
      <c r="J17">
        <v>61</v>
      </c>
    </row>
    <row r="18" spans="1:10" x14ac:dyDescent="0.25">
      <c r="A18" t="s">
        <v>74</v>
      </c>
      <c r="B18" t="s">
        <v>75</v>
      </c>
      <c r="C18" t="s">
        <v>46</v>
      </c>
      <c r="D18" t="s">
        <v>17</v>
      </c>
      <c r="E18" t="s">
        <v>12</v>
      </c>
      <c r="F18" s="3">
        <v>45630</v>
      </c>
      <c r="G18" s="3">
        <v>45997</v>
      </c>
      <c r="H18">
        <v>6240074.79</v>
      </c>
      <c r="I18" t="s">
        <v>25</v>
      </c>
      <c r="J18">
        <v>100</v>
      </c>
    </row>
    <row r="19" spans="1:10" x14ac:dyDescent="0.25">
      <c r="A19" t="s">
        <v>76</v>
      </c>
      <c r="B19" t="s">
        <v>77</v>
      </c>
      <c r="C19" t="s">
        <v>43</v>
      </c>
      <c r="D19" t="s">
        <v>16</v>
      </c>
      <c r="E19" t="s">
        <v>13</v>
      </c>
      <c r="F19" s="3">
        <v>44936</v>
      </c>
      <c r="G19" s="3">
        <v>45124</v>
      </c>
      <c r="H19">
        <v>5428638.7000000002</v>
      </c>
      <c r="I19" t="s">
        <v>26</v>
      </c>
      <c r="J19">
        <v>76</v>
      </c>
    </row>
    <row r="20" spans="1:10" x14ac:dyDescent="0.25">
      <c r="A20" t="s">
        <v>78</v>
      </c>
      <c r="B20" t="s">
        <v>79</v>
      </c>
      <c r="C20" t="s">
        <v>80</v>
      </c>
      <c r="D20" t="s">
        <v>20</v>
      </c>
      <c r="E20" t="s">
        <v>12</v>
      </c>
      <c r="F20" s="3">
        <v>45791</v>
      </c>
      <c r="G20" s="3">
        <v>45971</v>
      </c>
      <c r="H20">
        <v>6983289.8600000003</v>
      </c>
      <c r="I20" t="s">
        <v>23</v>
      </c>
      <c r="J20">
        <v>100</v>
      </c>
    </row>
    <row r="21" spans="1:10" x14ac:dyDescent="0.25">
      <c r="A21" t="s">
        <v>81</v>
      </c>
      <c r="B21" t="s">
        <v>82</v>
      </c>
      <c r="C21" t="s">
        <v>83</v>
      </c>
      <c r="D21" t="s">
        <v>17</v>
      </c>
      <c r="E21" t="s">
        <v>12</v>
      </c>
      <c r="F21" s="3">
        <v>45480</v>
      </c>
      <c r="G21" s="3">
        <v>45736</v>
      </c>
      <c r="H21">
        <v>4949321.3</v>
      </c>
      <c r="I21" t="s">
        <v>28</v>
      </c>
      <c r="J21">
        <v>100</v>
      </c>
    </row>
    <row r="22" spans="1:10" x14ac:dyDescent="0.25">
      <c r="A22" t="s">
        <v>84</v>
      </c>
      <c r="B22" t="s">
        <v>85</v>
      </c>
      <c r="C22" t="s">
        <v>49</v>
      </c>
      <c r="D22" t="s">
        <v>18</v>
      </c>
      <c r="E22" t="s">
        <v>11</v>
      </c>
      <c r="F22" s="3">
        <v>45114</v>
      </c>
      <c r="G22" s="3">
        <v>45507</v>
      </c>
      <c r="H22">
        <v>8772149.0899999999</v>
      </c>
      <c r="I22" t="s">
        <v>26</v>
      </c>
      <c r="J22">
        <v>45</v>
      </c>
    </row>
    <row r="23" spans="1:10" x14ac:dyDescent="0.25">
      <c r="A23" t="s">
        <v>86</v>
      </c>
      <c r="B23" t="s">
        <v>66</v>
      </c>
      <c r="C23" t="s">
        <v>87</v>
      </c>
      <c r="D23" t="s">
        <v>17</v>
      </c>
      <c r="E23" t="s">
        <v>12</v>
      </c>
      <c r="F23" s="3">
        <v>45711</v>
      </c>
      <c r="G23" s="3">
        <v>45814</v>
      </c>
      <c r="H23">
        <v>9571948.0899999999</v>
      </c>
      <c r="I23" t="s">
        <v>22</v>
      </c>
      <c r="J23">
        <v>100</v>
      </c>
    </row>
    <row r="24" spans="1:10" x14ac:dyDescent="0.25">
      <c r="A24" t="s">
        <v>88</v>
      </c>
      <c r="B24" t="s">
        <v>89</v>
      </c>
      <c r="C24" t="s">
        <v>90</v>
      </c>
      <c r="D24" t="s">
        <v>16</v>
      </c>
      <c r="E24" t="s">
        <v>11</v>
      </c>
      <c r="F24" s="3">
        <v>44962</v>
      </c>
      <c r="G24" s="3">
        <v>45159</v>
      </c>
      <c r="H24">
        <v>5376921.21</v>
      </c>
      <c r="I24" t="s">
        <v>27</v>
      </c>
      <c r="J24">
        <v>70</v>
      </c>
    </row>
    <row r="25" spans="1:10" x14ac:dyDescent="0.25">
      <c r="A25" t="s">
        <v>91</v>
      </c>
      <c r="B25" t="s">
        <v>92</v>
      </c>
      <c r="C25" t="s">
        <v>87</v>
      </c>
      <c r="D25" t="s">
        <v>17</v>
      </c>
      <c r="E25" t="s">
        <v>13</v>
      </c>
      <c r="F25" s="3">
        <v>45617</v>
      </c>
      <c r="G25" s="3">
        <v>45722</v>
      </c>
      <c r="H25">
        <v>7158976.75</v>
      </c>
      <c r="I25" t="s">
        <v>22</v>
      </c>
      <c r="J25">
        <v>99</v>
      </c>
    </row>
    <row r="26" spans="1:10" x14ac:dyDescent="0.25">
      <c r="A26" t="s">
        <v>93</v>
      </c>
      <c r="B26" t="s">
        <v>94</v>
      </c>
      <c r="C26" t="s">
        <v>49</v>
      </c>
      <c r="D26" t="s">
        <v>18</v>
      </c>
      <c r="E26" t="s">
        <v>13</v>
      </c>
      <c r="F26" s="3">
        <v>45912</v>
      </c>
      <c r="G26" s="3">
        <v>46134</v>
      </c>
      <c r="H26">
        <v>3630204.15</v>
      </c>
      <c r="I26" t="s">
        <v>26</v>
      </c>
      <c r="J26">
        <v>43</v>
      </c>
    </row>
    <row r="27" spans="1:10" x14ac:dyDescent="0.25">
      <c r="A27" t="s">
        <v>95</v>
      </c>
      <c r="B27" t="s">
        <v>96</v>
      </c>
      <c r="C27" t="s">
        <v>97</v>
      </c>
      <c r="D27" t="s">
        <v>20</v>
      </c>
      <c r="E27" t="s">
        <v>11</v>
      </c>
      <c r="F27" s="3">
        <v>44988</v>
      </c>
      <c r="G27" s="3">
        <v>45325</v>
      </c>
      <c r="H27">
        <v>5466089.6900000004</v>
      </c>
      <c r="I27" t="s">
        <v>26</v>
      </c>
      <c r="J27">
        <v>87</v>
      </c>
    </row>
    <row r="28" spans="1:10" x14ac:dyDescent="0.25">
      <c r="A28" t="s">
        <v>98</v>
      </c>
      <c r="B28" t="s">
        <v>99</v>
      </c>
      <c r="C28" t="s">
        <v>90</v>
      </c>
      <c r="D28" t="s">
        <v>16</v>
      </c>
      <c r="E28" t="s">
        <v>11</v>
      </c>
      <c r="F28" s="3">
        <v>45111</v>
      </c>
      <c r="G28" s="3">
        <v>45479</v>
      </c>
      <c r="H28">
        <v>5619260.0800000001</v>
      </c>
      <c r="I28" t="s">
        <v>31</v>
      </c>
      <c r="J28">
        <v>87</v>
      </c>
    </row>
    <row r="29" spans="1:10" x14ac:dyDescent="0.25">
      <c r="A29" t="s">
        <v>100</v>
      </c>
      <c r="B29" t="s">
        <v>101</v>
      </c>
      <c r="C29" t="s">
        <v>102</v>
      </c>
      <c r="D29" t="s">
        <v>17</v>
      </c>
      <c r="E29" t="s">
        <v>12</v>
      </c>
      <c r="F29" s="3">
        <v>45914</v>
      </c>
      <c r="G29" s="3">
        <v>46060</v>
      </c>
      <c r="H29">
        <v>3328825.4</v>
      </c>
      <c r="I29" t="s">
        <v>29</v>
      </c>
      <c r="J29">
        <v>4</v>
      </c>
    </row>
    <row r="30" spans="1:10" x14ac:dyDescent="0.25">
      <c r="A30" t="s">
        <v>103</v>
      </c>
      <c r="B30" t="s">
        <v>104</v>
      </c>
      <c r="C30" t="s">
        <v>87</v>
      </c>
      <c r="D30" t="s">
        <v>17</v>
      </c>
      <c r="E30" t="s">
        <v>13</v>
      </c>
      <c r="F30" s="3">
        <v>45283</v>
      </c>
      <c r="G30" s="3">
        <v>45494</v>
      </c>
      <c r="H30">
        <v>8770218.9100000001</v>
      </c>
      <c r="I30" t="s">
        <v>26</v>
      </c>
      <c r="J30">
        <v>75</v>
      </c>
    </row>
    <row r="31" spans="1:10" x14ac:dyDescent="0.25">
      <c r="A31" t="s">
        <v>105</v>
      </c>
      <c r="B31" t="s">
        <v>106</v>
      </c>
      <c r="C31" t="s">
        <v>37</v>
      </c>
      <c r="D31" t="s">
        <v>17</v>
      </c>
      <c r="E31" t="s">
        <v>12</v>
      </c>
      <c r="F31" s="3">
        <v>45296</v>
      </c>
      <c r="G31" s="3">
        <v>45385</v>
      </c>
      <c r="H31">
        <v>5146228.2699999996</v>
      </c>
      <c r="I31" t="s">
        <v>26</v>
      </c>
      <c r="J31">
        <v>100</v>
      </c>
    </row>
    <row r="32" spans="1:10" x14ac:dyDescent="0.25">
      <c r="A32" t="s">
        <v>107</v>
      </c>
      <c r="B32" t="s">
        <v>108</v>
      </c>
      <c r="C32" t="s">
        <v>97</v>
      </c>
      <c r="D32" t="s">
        <v>20</v>
      </c>
      <c r="E32" t="s">
        <v>13</v>
      </c>
      <c r="F32" s="3">
        <v>45377</v>
      </c>
      <c r="G32" s="3">
        <v>45534</v>
      </c>
      <c r="H32">
        <v>7731244.4900000002</v>
      </c>
      <c r="I32" t="s">
        <v>24</v>
      </c>
      <c r="J32">
        <v>46</v>
      </c>
    </row>
    <row r="33" spans="1:10" x14ac:dyDescent="0.25">
      <c r="A33" t="s">
        <v>109</v>
      </c>
      <c r="B33" t="s">
        <v>110</v>
      </c>
      <c r="C33" t="s">
        <v>111</v>
      </c>
      <c r="D33" t="s">
        <v>20</v>
      </c>
      <c r="E33" t="s">
        <v>12</v>
      </c>
      <c r="F33" s="3">
        <v>45437</v>
      </c>
      <c r="G33" s="3">
        <v>45680</v>
      </c>
      <c r="H33">
        <v>9322438.4900000002</v>
      </c>
      <c r="I33" t="s">
        <v>27</v>
      </c>
      <c r="J33">
        <v>100</v>
      </c>
    </row>
    <row r="34" spans="1:10" x14ac:dyDescent="0.25">
      <c r="A34" t="s">
        <v>112</v>
      </c>
      <c r="B34" t="s">
        <v>113</v>
      </c>
      <c r="C34" t="s">
        <v>73</v>
      </c>
      <c r="D34" t="s">
        <v>19</v>
      </c>
      <c r="E34" t="s">
        <v>11</v>
      </c>
      <c r="F34" s="3">
        <v>45047</v>
      </c>
      <c r="G34" s="3">
        <v>45497</v>
      </c>
      <c r="H34">
        <v>2858035.33</v>
      </c>
      <c r="I34" t="s">
        <v>29</v>
      </c>
      <c r="J34">
        <v>78</v>
      </c>
    </row>
    <row r="35" spans="1:10" x14ac:dyDescent="0.25">
      <c r="A35" t="s">
        <v>114</v>
      </c>
      <c r="B35" t="s">
        <v>115</v>
      </c>
      <c r="C35" t="s">
        <v>87</v>
      </c>
      <c r="D35" t="s">
        <v>17</v>
      </c>
      <c r="E35" t="s">
        <v>11</v>
      </c>
      <c r="F35" s="3">
        <v>45056</v>
      </c>
      <c r="G35" s="3">
        <v>45495</v>
      </c>
      <c r="H35">
        <v>8007857.9199999999</v>
      </c>
      <c r="I35" t="s">
        <v>23</v>
      </c>
      <c r="J35">
        <v>41</v>
      </c>
    </row>
    <row r="36" spans="1:10" x14ac:dyDescent="0.25">
      <c r="A36" t="s">
        <v>116</v>
      </c>
      <c r="B36" t="s">
        <v>117</v>
      </c>
      <c r="C36" t="s">
        <v>73</v>
      </c>
      <c r="D36" t="s">
        <v>19</v>
      </c>
      <c r="E36" t="s">
        <v>13</v>
      </c>
      <c r="F36" s="3">
        <v>45278</v>
      </c>
      <c r="G36" s="3">
        <v>45475</v>
      </c>
      <c r="H36">
        <v>5791162.75</v>
      </c>
      <c r="I36" t="s">
        <v>24</v>
      </c>
      <c r="J36">
        <v>75</v>
      </c>
    </row>
    <row r="37" spans="1:10" x14ac:dyDescent="0.25">
      <c r="A37" t="s">
        <v>118</v>
      </c>
      <c r="B37" t="s">
        <v>119</v>
      </c>
      <c r="C37" t="s">
        <v>54</v>
      </c>
      <c r="D37" t="s">
        <v>18</v>
      </c>
      <c r="E37" t="s">
        <v>13</v>
      </c>
      <c r="F37" s="3">
        <v>45058</v>
      </c>
      <c r="G37" s="3">
        <v>45242</v>
      </c>
      <c r="H37">
        <v>5853646.3600000003</v>
      </c>
      <c r="I37" t="s">
        <v>24</v>
      </c>
      <c r="J37">
        <v>43</v>
      </c>
    </row>
    <row r="38" spans="1:10" x14ac:dyDescent="0.25">
      <c r="A38" t="s">
        <v>120</v>
      </c>
      <c r="B38" t="s">
        <v>121</v>
      </c>
      <c r="C38" t="s">
        <v>46</v>
      </c>
      <c r="D38" t="s">
        <v>17</v>
      </c>
      <c r="E38" t="s">
        <v>12</v>
      </c>
      <c r="F38" s="3">
        <v>45743</v>
      </c>
      <c r="G38" s="3">
        <v>46081</v>
      </c>
      <c r="H38">
        <v>4468040.68</v>
      </c>
      <c r="I38" t="s">
        <v>26</v>
      </c>
      <c r="J38">
        <v>100</v>
      </c>
    </row>
    <row r="39" spans="1:10" x14ac:dyDescent="0.25">
      <c r="A39" t="s">
        <v>122</v>
      </c>
      <c r="B39" t="s">
        <v>123</v>
      </c>
      <c r="C39" t="s">
        <v>90</v>
      </c>
      <c r="D39" t="s">
        <v>16</v>
      </c>
      <c r="E39" t="s">
        <v>10</v>
      </c>
      <c r="F39" s="3">
        <v>45051</v>
      </c>
      <c r="G39" s="3">
        <v>45367</v>
      </c>
      <c r="H39">
        <v>2129967.1800000002</v>
      </c>
      <c r="I39" t="s">
        <v>28</v>
      </c>
      <c r="J39">
        <v>1</v>
      </c>
    </row>
    <row r="40" spans="1:10" x14ac:dyDescent="0.25">
      <c r="A40" t="s">
        <v>124</v>
      </c>
      <c r="B40" t="s">
        <v>125</v>
      </c>
      <c r="C40" t="s">
        <v>126</v>
      </c>
      <c r="D40" t="s">
        <v>18</v>
      </c>
      <c r="E40" t="s">
        <v>11</v>
      </c>
      <c r="F40" s="3">
        <v>45086</v>
      </c>
      <c r="G40" s="3">
        <v>45540</v>
      </c>
      <c r="H40">
        <v>8237121.6699999999</v>
      </c>
      <c r="I40" t="s">
        <v>23</v>
      </c>
      <c r="J40">
        <v>82</v>
      </c>
    </row>
    <row r="41" spans="1:10" x14ac:dyDescent="0.25">
      <c r="A41" t="s">
        <v>127</v>
      </c>
      <c r="B41" t="s">
        <v>128</v>
      </c>
      <c r="C41" t="s">
        <v>129</v>
      </c>
      <c r="D41" t="s">
        <v>17</v>
      </c>
      <c r="E41" t="s">
        <v>11</v>
      </c>
      <c r="F41" s="3">
        <v>45285</v>
      </c>
      <c r="G41" s="3">
        <v>45677</v>
      </c>
      <c r="H41">
        <v>1535503.94</v>
      </c>
      <c r="I41" t="s">
        <v>24</v>
      </c>
      <c r="J41">
        <v>90</v>
      </c>
    </row>
    <row r="42" spans="1:10" x14ac:dyDescent="0.25">
      <c r="A42" t="s">
        <v>130</v>
      </c>
      <c r="B42" t="s">
        <v>131</v>
      </c>
      <c r="C42" t="s">
        <v>37</v>
      </c>
      <c r="D42" t="s">
        <v>17</v>
      </c>
      <c r="E42" t="s">
        <v>13</v>
      </c>
      <c r="F42" s="3">
        <v>45093</v>
      </c>
      <c r="G42" s="3">
        <v>45327</v>
      </c>
      <c r="H42">
        <v>2115464.64</v>
      </c>
      <c r="I42" t="s">
        <v>24</v>
      </c>
      <c r="J42">
        <v>58</v>
      </c>
    </row>
    <row r="43" spans="1:10" x14ac:dyDescent="0.25">
      <c r="A43" t="s">
        <v>132</v>
      </c>
      <c r="B43" t="s">
        <v>133</v>
      </c>
      <c r="C43" t="s">
        <v>134</v>
      </c>
      <c r="D43" t="s">
        <v>16</v>
      </c>
      <c r="E43" t="s">
        <v>12</v>
      </c>
      <c r="F43" s="3">
        <v>45475</v>
      </c>
      <c r="G43" s="3">
        <v>45704</v>
      </c>
      <c r="H43">
        <v>2144205.37</v>
      </c>
      <c r="I43" t="s">
        <v>31</v>
      </c>
      <c r="J43">
        <v>100</v>
      </c>
    </row>
    <row r="44" spans="1:10" x14ac:dyDescent="0.25">
      <c r="A44" t="s">
        <v>135</v>
      </c>
      <c r="B44" t="s">
        <v>136</v>
      </c>
      <c r="C44" t="s">
        <v>83</v>
      </c>
      <c r="D44" t="s">
        <v>17</v>
      </c>
      <c r="E44" t="s">
        <v>11</v>
      </c>
      <c r="F44" s="3">
        <v>45999</v>
      </c>
      <c r="G44" s="3">
        <v>46242</v>
      </c>
      <c r="H44">
        <v>268188.08</v>
      </c>
      <c r="I44" t="s">
        <v>25</v>
      </c>
      <c r="J44">
        <v>68</v>
      </c>
    </row>
    <row r="45" spans="1:10" x14ac:dyDescent="0.25">
      <c r="A45" t="s">
        <v>137</v>
      </c>
      <c r="B45" t="s">
        <v>138</v>
      </c>
      <c r="C45" t="s">
        <v>46</v>
      </c>
      <c r="D45" t="s">
        <v>17</v>
      </c>
      <c r="E45" t="s">
        <v>11</v>
      </c>
      <c r="F45" s="3">
        <v>45482</v>
      </c>
      <c r="G45" s="3">
        <v>45769</v>
      </c>
      <c r="H45">
        <v>3165213.44</v>
      </c>
      <c r="I45" t="s">
        <v>25</v>
      </c>
      <c r="J45">
        <v>76</v>
      </c>
    </row>
    <row r="46" spans="1:10" x14ac:dyDescent="0.25">
      <c r="A46" t="s">
        <v>139</v>
      </c>
      <c r="B46" t="s">
        <v>56</v>
      </c>
      <c r="C46" t="s">
        <v>60</v>
      </c>
      <c r="D46" t="s">
        <v>15</v>
      </c>
      <c r="E46" t="s">
        <v>12</v>
      </c>
      <c r="F46" s="3">
        <v>45439</v>
      </c>
      <c r="G46" s="3">
        <v>45704</v>
      </c>
      <c r="H46">
        <v>5209272.47</v>
      </c>
      <c r="I46" t="s">
        <v>24</v>
      </c>
      <c r="J46">
        <v>100</v>
      </c>
    </row>
    <row r="47" spans="1:10" x14ac:dyDescent="0.25">
      <c r="A47" t="s">
        <v>140</v>
      </c>
      <c r="B47" t="s">
        <v>141</v>
      </c>
      <c r="C47" t="s">
        <v>54</v>
      </c>
      <c r="D47" t="s">
        <v>18</v>
      </c>
      <c r="E47" t="s">
        <v>13</v>
      </c>
      <c r="F47" s="3">
        <v>45194</v>
      </c>
      <c r="G47" s="3">
        <v>45334</v>
      </c>
      <c r="H47">
        <v>240789.2</v>
      </c>
      <c r="I47" t="s">
        <v>24</v>
      </c>
      <c r="J47">
        <v>48</v>
      </c>
    </row>
    <row r="48" spans="1:10" x14ac:dyDescent="0.25">
      <c r="A48" t="s">
        <v>142</v>
      </c>
      <c r="B48" t="s">
        <v>143</v>
      </c>
      <c r="C48" t="s">
        <v>34</v>
      </c>
      <c r="D48" t="s">
        <v>19</v>
      </c>
      <c r="E48" t="s">
        <v>12</v>
      </c>
      <c r="F48" s="3">
        <v>45130</v>
      </c>
      <c r="G48" s="3">
        <v>45472</v>
      </c>
      <c r="H48">
        <v>1022210.57</v>
      </c>
      <c r="I48" t="s">
        <v>27</v>
      </c>
      <c r="J48">
        <v>100</v>
      </c>
    </row>
    <row r="49" spans="1:10" x14ac:dyDescent="0.25">
      <c r="A49" t="s">
        <v>144</v>
      </c>
      <c r="B49" t="s">
        <v>145</v>
      </c>
      <c r="C49" t="s">
        <v>54</v>
      </c>
      <c r="D49" t="s">
        <v>18</v>
      </c>
      <c r="E49" t="s">
        <v>12</v>
      </c>
      <c r="F49" s="3">
        <v>45439</v>
      </c>
      <c r="G49" s="3">
        <v>45828</v>
      </c>
      <c r="H49">
        <v>5955278.6399999997</v>
      </c>
      <c r="I49" t="s">
        <v>27</v>
      </c>
      <c r="J49">
        <v>100</v>
      </c>
    </row>
    <row r="50" spans="1:10" x14ac:dyDescent="0.25">
      <c r="A50" t="s">
        <v>146</v>
      </c>
      <c r="B50" t="s">
        <v>147</v>
      </c>
      <c r="C50" t="s">
        <v>148</v>
      </c>
      <c r="D50" t="s">
        <v>17</v>
      </c>
      <c r="E50" t="s">
        <v>11</v>
      </c>
      <c r="F50" s="3">
        <v>44969</v>
      </c>
      <c r="G50" s="3">
        <v>45349</v>
      </c>
      <c r="H50">
        <v>7831965.0899999999</v>
      </c>
      <c r="I50" t="s">
        <v>22</v>
      </c>
      <c r="J50">
        <v>100</v>
      </c>
    </row>
    <row r="51" spans="1:10" x14ac:dyDescent="0.25">
      <c r="A51" t="s">
        <v>149</v>
      </c>
      <c r="B51" t="s">
        <v>150</v>
      </c>
      <c r="C51" t="s">
        <v>134</v>
      </c>
      <c r="D51" t="s">
        <v>16</v>
      </c>
      <c r="E51" t="s">
        <v>12</v>
      </c>
      <c r="F51" s="3">
        <v>45514</v>
      </c>
      <c r="G51" s="3">
        <v>45875</v>
      </c>
      <c r="H51">
        <v>7723711.4500000002</v>
      </c>
      <c r="I51" t="s">
        <v>27</v>
      </c>
      <c r="J51">
        <v>100</v>
      </c>
    </row>
    <row r="52" spans="1:10" x14ac:dyDescent="0.25">
      <c r="A52" t="s">
        <v>151</v>
      </c>
      <c r="B52" t="s">
        <v>56</v>
      </c>
      <c r="C52" t="s">
        <v>148</v>
      </c>
      <c r="D52" t="s">
        <v>17</v>
      </c>
      <c r="E52" t="s">
        <v>10</v>
      </c>
      <c r="F52" s="3">
        <v>45226</v>
      </c>
      <c r="G52" s="3">
        <v>45442</v>
      </c>
      <c r="H52">
        <v>7935493.9000000004</v>
      </c>
      <c r="I52" t="s">
        <v>22</v>
      </c>
      <c r="J52">
        <v>13</v>
      </c>
    </row>
    <row r="53" spans="1:10" x14ac:dyDescent="0.25">
      <c r="A53" t="s">
        <v>152</v>
      </c>
      <c r="B53" t="s">
        <v>153</v>
      </c>
      <c r="C53" t="s">
        <v>43</v>
      </c>
      <c r="D53" t="s">
        <v>16</v>
      </c>
      <c r="E53" t="s">
        <v>12</v>
      </c>
      <c r="F53" s="3">
        <v>46010</v>
      </c>
      <c r="G53" s="3">
        <v>46045</v>
      </c>
      <c r="H53">
        <v>6653049.4199999999</v>
      </c>
      <c r="I53" t="s">
        <v>31</v>
      </c>
      <c r="J53">
        <v>100</v>
      </c>
    </row>
    <row r="54" spans="1:10" x14ac:dyDescent="0.25">
      <c r="A54" t="s">
        <v>154</v>
      </c>
      <c r="B54" t="s">
        <v>155</v>
      </c>
      <c r="C54" t="s">
        <v>156</v>
      </c>
      <c r="D54" t="s">
        <v>18</v>
      </c>
      <c r="E54" t="s">
        <v>11</v>
      </c>
      <c r="F54" s="3">
        <v>45567</v>
      </c>
      <c r="G54" s="3">
        <v>45766</v>
      </c>
      <c r="H54">
        <v>3216644.16</v>
      </c>
      <c r="I54" t="s">
        <v>26</v>
      </c>
      <c r="J54">
        <v>59</v>
      </c>
    </row>
    <row r="55" spans="1:10" x14ac:dyDescent="0.25">
      <c r="A55" t="s">
        <v>157</v>
      </c>
      <c r="B55" t="s">
        <v>158</v>
      </c>
      <c r="C55" t="s">
        <v>54</v>
      </c>
      <c r="D55" t="s">
        <v>18</v>
      </c>
      <c r="E55" t="s">
        <v>11</v>
      </c>
      <c r="F55" s="3">
        <v>45063</v>
      </c>
      <c r="G55" s="3">
        <v>45521</v>
      </c>
      <c r="H55">
        <v>6553673.0300000003</v>
      </c>
      <c r="I55" t="s">
        <v>30</v>
      </c>
      <c r="J55">
        <v>60</v>
      </c>
    </row>
    <row r="56" spans="1:10" x14ac:dyDescent="0.25">
      <c r="A56" t="s">
        <v>159</v>
      </c>
      <c r="B56" t="s">
        <v>160</v>
      </c>
      <c r="C56" t="s">
        <v>102</v>
      </c>
      <c r="D56" t="s">
        <v>17</v>
      </c>
      <c r="E56" t="s">
        <v>12</v>
      </c>
      <c r="F56" s="3">
        <v>45738</v>
      </c>
      <c r="G56" s="3">
        <v>45793</v>
      </c>
      <c r="H56">
        <v>2555888.89</v>
      </c>
      <c r="I56" t="s">
        <v>31</v>
      </c>
      <c r="J56">
        <v>100</v>
      </c>
    </row>
    <row r="57" spans="1:10" x14ac:dyDescent="0.25">
      <c r="A57" t="s">
        <v>161</v>
      </c>
      <c r="B57" t="s">
        <v>162</v>
      </c>
      <c r="C57" t="s">
        <v>148</v>
      </c>
      <c r="D57" t="s">
        <v>17</v>
      </c>
      <c r="E57" t="s">
        <v>10</v>
      </c>
      <c r="F57" s="3">
        <v>45755</v>
      </c>
      <c r="G57" s="3">
        <v>46105</v>
      </c>
      <c r="H57">
        <v>7751544.6299999999</v>
      </c>
      <c r="I57" t="s">
        <v>29</v>
      </c>
      <c r="J57">
        <v>13</v>
      </c>
    </row>
    <row r="58" spans="1:10" x14ac:dyDescent="0.25">
      <c r="A58" t="s">
        <v>163</v>
      </c>
      <c r="B58" t="s">
        <v>113</v>
      </c>
      <c r="C58" t="s">
        <v>102</v>
      </c>
      <c r="D58" t="s">
        <v>17</v>
      </c>
      <c r="E58" t="s">
        <v>13</v>
      </c>
      <c r="F58" s="3">
        <v>45062</v>
      </c>
      <c r="G58" s="3">
        <v>45216</v>
      </c>
      <c r="H58">
        <v>5831691.0300000003</v>
      </c>
      <c r="I58" t="s">
        <v>28</v>
      </c>
      <c r="J58">
        <v>40</v>
      </c>
    </row>
    <row r="59" spans="1:10" x14ac:dyDescent="0.25">
      <c r="A59" t="s">
        <v>164</v>
      </c>
      <c r="B59" t="s">
        <v>165</v>
      </c>
      <c r="C59" t="s">
        <v>97</v>
      </c>
      <c r="D59" t="s">
        <v>20</v>
      </c>
      <c r="E59" t="s">
        <v>13</v>
      </c>
      <c r="F59" s="3">
        <v>45449</v>
      </c>
      <c r="G59" s="3">
        <v>45628</v>
      </c>
      <c r="H59">
        <v>7716761.4199999999</v>
      </c>
      <c r="I59" t="s">
        <v>25</v>
      </c>
      <c r="J59">
        <v>78</v>
      </c>
    </row>
    <row r="60" spans="1:10" x14ac:dyDescent="0.25">
      <c r="A60" t="s">
        <v>166</v>
      </c>
      <c r="B60" t="s">
        <v>167</v>
      </c>
      <c r="C60" t="s">
        <v>80</v>
      </c>
      <c r="D60" t="s">
        <v>20</v>
      </c>
      <c r="E60" t="s">
        <v>10</v>
      </c>
      <c r="F60" s="3">
        <v>45606</v>
      </c>
      <c r="G60" s="3">
        <v>45738</v>
      </c>
      <c r="H60">
        <v>7738805.2599999998</v>
      </c>
      <c r="I60" t="s">
        <v>25</v>
      </c>
      <c r="J60">
        <v>8</v>
      </c>
    </row>
    <row r="61" spans="1:10" x14ac:dyDescent="0.25">
      <c r="A61" t="s">
        <v>168</v>
      </c>
      <c r="B61" t="s">
        <v>56</v>
      </c>
      <c r="C61" t="s">
        <v>54</v>
      </c>
      <c r="D61" t="s">
        <v>18</v>
      </c>
      <c r="E61" t="s">
        <v>12</v>
      </c>
      <c r="F61" s="3">
        <v>45359</v>
      </c>
      <c r="G61" s="3">
        <v>45420</v>
      </c>
      <c r="H61">
        <v>9791422.9000000004</v>
      </c>
      <c r="I61" t="s">
        <v>24</v>
      </c>
      <c r="J61">
        <v>100</v>
      </c>
    </row>
    <row r="62" spans="1:10" x14ac:dyDescent="0.25">
      <c r="A62" t="s">
        <v>169</v>
      </c>
      <c r="B62" t="s">
        <v>170</v>
      </c>
      <c r="C62" t="s">
        <v>111</v>
      </c>
      <c r="D62" t="s">
        <v>20</v>
      </c>
      <c r="E62" t="s">
        <v>11</v>
      </c>
      <c r="F62" s="3">
        <v>45725</v>
      </c>
      <c r="G62" s="3">
        <v>45931</v>
      </c>
      <c r="H62">
        <v>4582998.87</v>
      </c>
      <c r="I62" t="s">
        <v>27</v>
      </c>
      <c r="J62">
        <v>54</v>
      </c>
    </row>
    <row r="63" spans="1:10" x14ac:dyDescent="0.25">
      <c r="A63" t="s">
        <v>171</v>
      </c>
      <c r="B63" t="s">
        <v>172</v>
      </c>
      <c r="C63" t="s">
        <v>129</v>
      </c>
      <c r="D63" t="s">
        <v>17</v>
      </c>
      <c r="E63" t="s">
        <v>11</v>
      </c>
      <c r="F63" s="3">
        <v>45896</v>
      </c>
      <c r="G63" s="3">
        <v>46378</v>
      </c>
      <c r="H63">
        <v>6107883.1399999997</v>
      </c>
      <c r="I63" t="s">
        <v>23</v>
      </c>
      <c r="J63">
        <v>58</v>
      </c>
    </row>
    <row r="64" spans="1:10" x14ac:dyDescent="0.25">
      <c r="A64" t="s">
        <v>173</v>
      </c>
      <c r="B64" t="s">
        <v>174</v>
      </c>
      <c r="C64" t="s">
        <v>34</v>
      </c>
      <c r="D64" t="s">
        <v>19</v>
      </c>
      <c r="E64" t="s">
        <v>12</v>
      </c>
      <c r="F64" s="3">
        <v>45920</v>
      </c>
      <c r="G64" s="3">
        <v>46227</v>
      </c>
      <c r="H64">
        <v>2654743.63</v>
      </c>
      <c r="I64" t="s">
        <v>27</v>
      </c>
      <c r="J64">
        <v>100</v>
      </c>
    </row>
    <row r="65" spans="1:10" x14ac:dyDescent="0.25">
      <c r="A65" t="s">
        <v>175</v>
      </c>
      <c r="B65" t="s">
        <v>176</v>
      </c>
      <c r="C65" t="s">
        <v>49</v>
      </c>
      <c r="D65" t="s">
        <v>18</v>
      </c>
      <c r="E65" t="s">
        <v>11</v>
      </c>
      <c r="F65" s="3">
        <v>45641</v>
      </c>
      <c r="G65" s="3">
        <v>46033</v>
      </c>
      <c r="H65">
        <v>417180.66</v>
      </c>
      <c r="I65" t="s">
        <v>25</v>
      </c>
      <c r="J65">
        <v>52</v>
      </c>
    </row>
    <row r="66" spans="1:10" x14ac:dyDescent="0.25">
      <c r="A66" t="s">
        <v>177</v>
      </c>
      <c r="B66" t="s">
        <v>178</v>
      </c>
      <c r="C66" t="s">
        <v>129</v>
      </c>
      <c r="D66" t="s">
        <v>17</v>
      </c>
      <c r="E66" t="s">
        <v>10</v>
      </c>
      <c r="F66" s="3">
        <v>45340</v>
      </c>
      <c r="G66" s="3">
        <v>45686</v>
      </c>
      <c r="H66">
        <v>4266682.6900000004</v>
      </c>
      <c r="I66" t="s">
        <v>25</v>
      </c>
      <c r="J66">
        <v>8</v>
      </c>
    </row>
    <row r="67" spans="1:10" x14ac:dyDescent="0.25">
      <c r="A67" t="s">
        <v>179</v>
      </c>
      <c r="B67" t="s">
        <v>180</v>
      </c>
      <c r="C67" t="s">
        <v>156</v>
      </c>
      <c r="D67" t="s">
        <v>18</v>
      </c>
      <c r="E67" t="s">
        <v>13</v>
      </c>
      <c r="F67" s="3">
        <v>45098</v>
      </c>
      <c r="G67" s="3">
        <v>45323</v>
      </c>
      <c r="H67">
        <v>2175777.33</v>
      </c>
      <c r="I67" t="s">
        <v>26</v>
      </c>
      <c r="J67">
        <v>71</v>
      </c>
    </row>
    <row r="68" spans="1:10" x14ac:dyDescent="0.25">
      <c r="A68" t="s">
        <v>181</v>
      </c>
      <c r="B68" t="s">
        <v>182</v>
      </c>
      <c r="C68" t="s">
        <v>60</v>
      </c>
      <c r="D68" t="s">
        <v>15</v>
      </c>
      <c r="E68" t="s">
        <v>11</v>
      </c>
      <c r="F68" s="3">
        <v>45374</v>
      </c>
      <c r="G68" s="3">
        <v>45752</v>
      </c>
      <c r="H68">
        <v>6304172.8799999999</v>
      </c>
      <c r="I68" t="s">
        <v>22</v>
      </c>
      <c r="J68">
        <v>57</v>
      </c>
    </row>
    <row r="69" spans="1:10" x14ac:dyDescent="0.25">
      <c r="A69" t="s">
        <v>183</v>
      </c>
      <c r="B69" t="s">
        <v>184</v>
      </c>
      <c r="C69" t="s">
        <v>156</v>
      </c>
      <c r="D69" t="s">
        <v>18</v>
      </c>
      <c r="E69" t="s">
        <v>11</v>
      </c>
      <c r="F69" s="3">
        <v>45766</v>
      </c>
      <c r="G69" s="3">
        <v>46078</v>
      </c>
      <c r="H69">
        <v>3335762.45</v>
      </c>
      <c r="I69" t="s">
        <v>24</v>
      </c>
      <c r="J69">
        <v>45</v>
      </c>
    </row>
    <row r="70" spans="1:10" x14ac:dyDescent="0.25">
      <c r="A70" t="s">
        <v>185</v>
      </c>
      <c r="B70" t="s">
        <v>92</v>
      </c>
      <c r="C70" t="s">
        <v>97</v>
      </c>
      <c r="D70" t="s">
        <v>20</v>
      </c>
      <c r="E70" t="s">
        <v>10</v>
      </c>
      <c r="F70" s="3">
        <v>45886</v>
      </c>
      <c r="G70" s="3">
        <v>46004</v>
      </c>
      <c r="H70">
        <v>1616769.4</v>
      </c>
      <c r="I70" t="s">
        <v>24</v>
      </c>
      <c r="J70">
        <v>0</v>
      </c>
    </row>
    <row r="71" spans="1:10" x14ac:dyDescent="0.25">
      <c r="A71" t="s">
        <v>186</v>
      </c>
      <c r="B71" t="s">
        <v>187</v>
      </c>
      <c r="C71" t="s">
        <v>49</v>
      </c>
      <c r="D71" t="s">
        <v>18</v>
      </c>
      <c r="E71" t="s">
        <v>13</v>
      </c>
      <c r="F71" s="3">
        <v>45849</v>
      </c>
      <c r="G71" s="3">
        <v>45939</v>
      </c>
      <c r="H71">
        <v>1712099.56</v>
      </c>
      <c r="I71" t="s">
        <v>28</v>
      </c>
      <c r="J71">
        <v>42</v>
      </c>
    </row>
    <row r="72" spans="1:10" x14ac:dyDescent="0.25">
      <c r="A72" t="s">
        <v>188</v>
      </c>
      <c r="B72" t="s">
        <v>189</v>
      </c>
      <c r="C72" t="s">
        <v>73</v>
      </c>
      <c r="D72" t="s">
        <v>19</v>
      </c>
      <c r="E72" t="s">
        <v>13</v>
      </c>
      <c r="F72" s="3">
        <v>45124</v>
      </c>
      <c r="G72" s="3">
        <v>45323</v>
      </c>
      <c r="H72">
        <v>8515227.4199999999</v>
      </c>
      <c r="I72" t="s">
        <v>22</v>
      </c>
      <c r="J72">
        <v>64</v>
      </c>
    </row>
    <row r="73" spans="1:10" x14ac:dyDescent="0.25">
      <c r="A73" t="s">
        <v>190</v>
      </c>
      <c r="B73" t="s">
        <v>191</v>
      </c>
      <c r="C73" t="s">
        <v>73</v>
      </c>
      <c r="D73" t="s">
        <v>19</v>
      </c>
      <c r="E73" t="s">
        <v>12</v>
      </c>
      <c r="F73" s="3">
        <v>45609</v>
      </c>
      <c r="G73" s="3">
        <v>45944</v>
      </c>
      <c r="H73">
        <v>2265977.2799999998</v>
      </c>
      <c r="I73" t="s">
        <v>29</v>
      </c>
      <c r="J73">
        <v>100</v>
      </c>
    </row>
    <row r="74" spans="1:10" x14ac:dyDescent="0.25">
      <c r="A74" t="s">
        <v>192</v>
      </c>
      <c r="B74" t="s">
        <v>193</v>
      </c>
      <c r="C74" t="s">
        <v>126</v>
      </c>
      <c r="D74" t="s">
        <v>18</v>
      </c>
      <c r="E74" t="s">
        <v>13</v>
      </c>
      <c r="F74" s="3">
        <v>45857</v>
      </c>
      <c r="G74" s="3">
        <v>46029</v>
      </c>
      <c r="H74">
        <v>6466342.0800000001</v>
      </c>
      <c r="I74" t="s">
        <v>28</v>
      </c>
      <c r="J74">
        <v>37</v>
      </c>
    </row>
    <row r="75" spans="1:10" x14ac:dyDescent="0.25">
      <c r="A75" t="s">
        <v>194</v>
      </c>
      <c r="B75" t="s">
        <v>195</v>
      </c>
      <c r="C75" t="s">
        <v>156</v>
      </c>
      <c r="D75" t="s">
        <v>18</v>
      </c>
      <c r="E75" t="s">
        <v>12</v>
      </c>
      <c r="F75" s="3">
        <v>45059</v>
      </c>
      <c r="G75" s="3">
        <v>45197</v>
      </c>
      <c r="H75">
        <v>9686749.3200000003</v>
      </c>
      <c r="I75" t="s">
        <v>22</v>
      </c>
      <c r="J75">
        <v>100</v>
      </c>
    </row>
    <row r="76" spans="1:10" x14ac:dyDescent="0.25">
      <c r="A76" t="s">
        <v>196</v>
      </c>
      <c r="B76" t="s">
        <v>197</v>
      </c>
      <c r="C76" t="s">
        <v>57</v>
      </c>
      <c r="D76" t="s">
        <v>17</v>
      </c>
      <c r="E76" t="s">
        <v>10</v>
      </c>
      <c r="F76" s="3">
        <v>45775</v>
      </c>
      <c r="G76" s="3">
        <v>45971</v>
      </c>
      <c r="H76">
        <v>3284984.96</v>
      </c>
      <c r="I76" t="s">
        <v>25</v>
      </c>
      <c r="J76">
        <v>7</v>
      </c>
    </row>
    <row r="77" spans="1:10" x14ac:dyDescent="0.25">
      <c r="A77" t="s">
        <v>198</v>
      </c>
      <c r="B77" t="s">
        <v>199</v>
      </c>
      <c r="C77" t="s">
        <v>102</v>
      </c>
      <c r="D77" t="s">
        <v>17</v>
      </c>
      <c r="E77" t="s">
        <v>11</v>
      </c>
      <c r="F77" s="3">
        <v>45501</v>
      </c>
      <c r="G77" s="3">
        <v>46020</v>
      </c>
      <c r="H77">
        <v>8119583.6200000001</v>
      </c>
      <c r="I77" t="s">
        <v>29</v>
      </c>
      <c r="J77">
        <v>37</v>
      </c>
    </row>
    <row r="78" spans="1:10" x14ac:dyDescent="0.25">
      <c r="A78" t="s">
        <v>200</v>
      </c>
      <c r="B78" t="s">
        <v>201</v>
      </c>
      <c r="C78" t="s">
        <v>40</v>
      </c>
      <c r="D78" t="s">
        <v>17</v>
      </c>
      <c r="E78" t="s">
        <v>11</v>
      </c>
      <c r="F78" s="3">
        <v>45265</v>
      </c>
      <c r="G78" s="3">
        <v>45660</v>
      </c>
      <c r="H78">
        <v>1184678.94</v>
      </c>
      <c r="I78" t="s">
        <v>28</v>
      </c>
      <c r="J78">
        <v>67</v>
      </c>
    </row>
    <row r="79" spans="1:10" x14ac:dyDescent="0.25">
      <c r="A79" t="s">
        <v>202</v>
      </c>
      <c r="B79" t="s">
        <v>203</v>
      </c>
      <c r="C79" t="s">
        <v>54</v>
      </c>
      <c r="D79" t="s">
        <v>18</v>
      </c>
      <c r="E79" t="s">
        <v>10</v>
      </c>
      <c r="F79" s="3">
        <v>45475</v>
      </c>
      <c r="G79" s="3">
        <v>45715</v>
      </c>
      <c r="H79">
        <v>1545665.81</v>
      </c>
      <c r="I79" t="s">
        <v>25</v>
      </c>
      <c r="J79">
        <v>2</v>
      </c>
    </row>
    <row r="80" spans="1:10" x14ac:dyDescent="0.25">
      <c r="A80" t="s">
        <v>204</v>
      </c>
      <c r="B80" t="s">
        <v>205</v>
      </c>
      <c r="C80" t="s">
        <v>49</v>
      </c>
      <c r="D80" t="s">
        <v>18</v>
      </c>
      <c r="E80" t="s">
        <v>11</v>
      </c>
      <c r="F80" s="3">
        <v>45304</v>
      </c>
      <c r="G80" s="3">
        <v>45643</v>
      </c>
      <c r="H80">
        <v>2803151.43</v>
      </c>
      <c r="I80" t="s">
        <v>23</v>
      </c>
      <c r="J80">
        <v>86</v>
      </c>
    </row>
    <row r="81" spans="1:10" x14ac:dyDescent="0.25">
      <c r="A81" t="s">
        <v>206</v>
      </c>
      <c r="B81" t="s">
        <v>207</v>
      </c>
      <c r="C81" t="s">
        <v>57</v>
      </c>
      <c r="D81" t="s">
        <v>17</v>
      </c>
      <c r="E81" t="s">
        <v>11</v>
      </c>
      <c r="F81" s="3">
        <v>44944</v>
      </c>
      <c r="G81" s="3">
        <v>45257</v>
      </c>
      <c r="H81">
        <v>8828335.8900000006</v>
      </c>
      <c r="I81" t="s">
        <v>26</v>
      </c>
      <c r="J81">
        <v>58</v>
      </c>
    </row>
    <row r="82" spans="1:10" x14ac:dyDescent="0.25">
      <c r="A82" t="s">
        <v>208</v>
      </c>
      <c r="B82" t="s">
        <v>209</v>
      </c>
      <c r="C82" t="s">
        <v>156</v>
      </c>
      <c r="D82" t="s">
        <v>18</v>
      </c>
      <c r="E82" t="s">
        <v>10</v>
      </c>
      <c r="F82" s="3">
        <v>44979</v>
      </c>
      <c r="G82" s="3">
        <v>45165</v>
      </c>
      <c r="H82">
        <v>518039.92</v>
      </c>
      <c r="I82" t="s">
        <v>28</v>
      </c>
      <c r="J82">
        <v>2</v>
      </c>
    </row>
    <row r="83" spans="1:10" x14ac:dyDescent="0.25">
      <c r="A83" t="s">
        <v>210</v>
      </c>
      <c r="B83" t="s">
        <v>211</v>
      </c>
      <c r="C83" t="s">
        <v>37</v>
      </c>
      <c r="D83" t="s">
        <v>17</v>
      </c>
      <c r="E83" t="s">
        <v>13</v>
      </c>
      <c r="F83" s="3">
        <v>45309</v>
      </c>
      <c r="G83" s="3">
        <v>45458</v>
      </c>
      <c r="H83">
        <v>6860468.7699999996</v>
      </c>
      <c r="I83" t="s">
        <v>26</v>
      </c>
      <c r="J83">
        <v>43</v>
      </c>
    </row>
    <row r="84" spans="1:10" x14ac:dyDescent="0.25">
      <c r="A84" t="s">
        <v>212</v>
      </c>
      <c r="B84" t="s">
        <v>213</v>
      </c>
      <c r="C84" t="s">
        <v>111</v>
      </c>
      <c r="D84" t="s">
        <v>20</v>
      </c>
      <c r="E84" t="s">
        <v>10</v>
      </c>
      <c r="F84" s="3">
        <v>45520</v>
      </c>
      <c r="G84" s="3">
        <v>45876</v>
      </c>
      <c r="H84">
        <v>3317156.45</v>
      </c>
      <c r="I84" t="s">
        <v>22</v>
      </c>
      <c r="J84">
        <v>2</v>
      </c>
    </row>
    <row r="85" spans="1:10" x14ac:dyDescent="0.25">
      <c r="A85" t="s">
        <v>214</v>
      </c>
      <c r="B85" t="s">
        <v>215</v>
      </c>
      <c r="C85" t="s">
        <v>49</v>
      </c>
      <c r="D85" t="s">
        <v>18</v>
      </c>
      <c r="E85" t="s">
        <v>10</v>
      </c>
      <c r="F85" s="3">
        <v>45728</v>
      </c>
      <c r="G85" s="3">
        <v>45950</v>
      </c>
      <c r="H85">
        <v>9798312.1500000004</v>
      </c>
      <c r="I85" t="s">
        <v>27</v>
      </c>
      <c r="J85">
        <v>6</v>
      </c>
    </row>
    <row r="86" spans="1:10" x14ac:dyDescent="0.25">
      <c r="A86" t="s">
        <v>216</v>
      </c>
      <c r="B86" t="s">
        <v>217</v>
      </c>
      <c r="C86" t="s">
        <v>218</v>
      </c>
      <c r="D86" t="s">
        <v>20</v>
      </c>
      <c r="E86" t="s">
        <v>10</v>
      </c>
      <c r="F86" s="3">
        <v>45907</v>
      </c>
      <c r="G86" s="3">
        <v>46340</v>
      </c>
      <c r="H86">
        <v>7267677.0700000003</v>
      </c>
      <c r="I86" t="s">
        <v>25</v>
      </c>
      <c r="J86">
        <v>9</v>
      </c>
    </row>
    <row r="87" spans="1:10" x14ac:dyDescent="0.25">
      <c r="A87" t="s">
        <v>219</v>
      </c>
      <c r="B87" t="s">
        <v>220</v>
      </c>
      <c r="C87" t="s">
        <v>221</v>
      </c>
      <c r="D87" t="s">
        <v>17</v>
      </c>
      <c r="E87" t="s">
        <v>11</v>
      </c>
      <c r="F87" s="3">
        <v>45567</v>
      </c>
      <c r="G87" s="3">
        <v>45804</v>
      </c>
      <c r="H87">
        <v>607433.81999999995</v>
      </c>
      <c r="I87" t="s">
        <v>27</v>
      </c>
      <c r="J87">
        <v>27</v>
      </c>
    </row>
    <row r="88" spans="1:10" x14ac:dyDescent="0.25">
      <c r="A88" t="s">
        <v>222</v>
      </c>
      <c r="B88" t="s">
        <v>223</v>
      </c>
      <c r="C88" t="s">
        <v>90</v>
      </c>
      <c r="D88" t="s">
        <v>16</v>
      </c>
      <c r="E88" t="s">
        <v>13</v>
      </c>
      <c r="F88" s="3">
        <v>45375</v>
      </c>
      <c r="G88" s="3">
        <v>45477</v>
      </c>
      <c r="H88">
        <v>9645878.1899999995</v>
      </c>
      <c r="I88" t="s">
        <v>30</v>
      </c>
      <c r="J88">
        <v>36</v>
      </c>
    </row>
    <row r="89" spans="1:10" x14ac:dyDescent="0.25">
      <c r="A89" t="s">
        <v>224</v>
      </c>
      <c r="B89" t="s">
        <v>225</v>
      </c>
      <c r="C89" t="s">
        <v>73</v>
      </c>
      <c r="D89" t="s">
        <v>19</v>
      </c>
      <c r="E89" t="s">
        <v>12</v>
      </c>
      <c r="F89" s="3">
        <v>45638</v>
      </c>
      <c r="G89" s="3">
        <v>45688</v>
      </c>
      <c r="H89">
        <v>8794706.3000000007</v>
      </c>
      <c r="I89" t="s">
        <v>23</v>
      </c>
      <c r="J89">
        <v>100</v>
      </c>
    </row>
    <row r="90" spans="1:10" x14ac:dyDescent="0.25">
      <c r="A90" t="s">
        <v>226</v>
      </c>
      <c r="B90" t="s">
        <v>199</v>
      </c>
      <c r="C90" t="s">
        <v>90</v>
      </c>
      <c r="D90" t="s">
        <v>16</v>
      </c>
      <c r="E90" t="s">
        <v>12</v>
      </c>
      <c r="F90" s="3">
        <v>45865</v>
      </c>
      <c r="G90" s="3">
        <v>46174</v>
      </c>
      <c r="H90">
        <v>4109212.34</v>
      </c>
      <c r="I90" t="s">
        <v>29</v>
      </c>
      <c r="J90">
        <v>100</v>
      </c>
    </row>
    <row r="91" spans="1:10" x14ac:dyDescent="0.25">
      <c r="A91" t="s">
        <v>227</v>
      </c>
      <c r="B91" t="s">
        <v>209</v>
      </c>
      <c r="C91" t="s">
        <v>156</v>
      </c>
      <c r="D91" t="s">
        <v>18</v>
      </c>
      <c r="E91" t="s">
        <v>10</v>
      </c>
      <c r="F91" s="3">
        <v>45423</v>
      </c>
      <c r="G91" s="3">
        <v>45743</v>
      </c>
      <c r="H91">
        <v>4399997.87</v>
      </c>
      <c r="I91" t="s">
        <v>23</v>
      </c>
      <c r="J91">
        <v>3</v>
      </c>
    </row>
    <row r="92" spans="1:10" x14ac:dyDescent="0.25">
      <c r="A92" t="s">
        <v>228</v>
      </c>
      <c r="B92" t="s">
        <v>229</v>
      </c>
      <c r="C92" t="s">
        <v>156</v>
      </c>
      <c r="D92" t="s">
        <v>18</v>
      </c>
      <c r="E92" t="s">
        <v>13</v>
      </c>
      <c r="F92" s="3">
        <v>45770</v>
      </c>
      <c r="G92" s="3">
        <v>46016</v>
      </c>
      <c r="H92">
        <v>2783136.9</v>
      </c>
      <c r="I92" t="s">
        <v>26</v>
      </c>
      <c r="J92">
        <v>79</v>
      </c>
    </row>
    <row r="93" spans="1:10" x14ac:dyDescent="0.25">
      <c r="A93" t="s">
        <v>230</v>
      </c>
      <c r="B93" t="s">
        <v>231</v>
      </c>
      <c r="C93" t="s">
        <v>57</v>
      </c>
      <c r="D93" t="s">
        <v>17</v>
      </c>
      <c r="E93" t="s">
        <v>13</v>
      </c>
      <c r="F93" s="3">
        <v>45466</v>
      </c>
      <c r="G93" s="3">
        <v>45686</v>
      </c>
      <c r="H93">
        <v>1619889.19</v>
      </c>
      <c r="I93" t="s">
        <v>29</v>
      </c>
      <c r="J93">
        <v>74</v>
      </c>
    </row>
    <row r="94" spans="1:10" x14ac:dyDescent="0.25">
      <c r="A94" t="s">
        <v>232</v>
      </c>
      <c r="B94" t="s">
        <v>233</v>
      </c>
      <c r="C94" t="s">
        <v>83</v>
      </c>
      <c r="D94" t="s">
        <v>17</v>
      </c>
      <c r="E94" t="s">
        <v>13</v>
      </c>
      <c r="F94" s="3">
        <v>45829</v>
      </c>
      <c r="G94" s="3">
        <v>46020</v>
      </c>
      <c r="H94">
        <v>3183936.28</v>
      </c>
      <c r="I94" t="s">
        <v>26</v>
      </c>
      <c r="J94">
        <v>38</v>
      </c>
    </row>
    <row r="95" spans="1:10" x14ac:dyDescent="0.25">
      <c r="A95" t="s">
        <v>234</v>
      </c>
      <c r="B95" t="s">
        <v>235</v>
      </c>
      <c r="C95" t="s">
        <v>90</v>
      </c>
      <c r="D95" t="s">
        <v>16</v>
      </c>
      <c r="E95" t="s">
        <v>13</v>
      </c>
      <c r="F95" s="3">
        <v>45639</v>
      </c>
      <c r="G95" s="3">
        <v>45869</v>
      </c>
      <c r="H95">
        <v>880599.96</v>
      </c>
      <c r="I95" t="s">
        <v>30</v>
      </c>
      <c r="J95">
        <v>45</v>
      </c>
    </row>
    <row r="96" spans="1:10" x14ac:dyDescent="0.25">
      <c r="A96" t="s">
        <v>236</v>
      </c>
      <c r="B96" t="s">
        <v>237</v>
      </c>
      <c r="C96" t="s">
        <v>83</v>
      </c>
      <c r="D96" t="s">
        <v>17</v>
      </c>
      <c r="E96" t="s">
        <v>13</v>
      </c>
      <c r="F96" s="3">
        <v>45681</v>
      </c>
      <c r="G96" s="3">
        <v>45812</v>
      </c>
      <c r="H96">
        <v>621059.5</v>
      </c>
      <c r="I96" t="s">
        <v>31</v>
      </c>
      <c r="J96">
        <v>43</v>
      </c>
    </row>
    <row r="97" spans="1:10" x14ac:dyDescent="0.25">
      <c r="A97" t="s">
        <v>238</v>
      </c>
      <c r="B97" t="s">
        <v>99</v>
      </c>
      <c r="C97" t="s">
        <v>221</v>
      </c>
      <c r="D97" t="s">
        <v>17</v>
      </c>
      <c r="E97" t="s">
        <v>11</v>
      </c>
      <c r="F97" s="3">
        <v>44989</v>
      </c>
      <c r="G97" s="3">
        <v>45389</v>
      </c>
      <c r="H97">
        <v>8584062.7200000007</v>
      </c>
      <c r="I97" t="s">
        <v>22</v>
      </c>
      <c r="J97">
        <v>61</v>
      </c>
    </row>
    <row r="98" spans="1:10" x14ac:dyDescent="0.25">
      <c r="A98" t="s">
        <v>239</v>
      </c>
      <c r="B98" t="s">
        <v>240</v>
      </c>
      <c r="C98" t="s">
        <v>54</v>
      </c>
      <c r="D98" t="s">
        <v>18</v>
      </c>
      <c r="E98" t="s">
        <v>11</v>
      </c>
      <c r="F98" s="3">
        <v>45775</v>
      </c>
      <c r="G98" s="3">
        <v>46099</v>
      </c>
      <c r="H98">
        <v>8077606.6699999999</v>
      </c>
      <c r="I98" t="s">
        <v>28</v>
      </c>
      <c r="J98">
        <v>75</v>
      </c>
    </row>
    <row r="99" spans="1:10" x14ac:dyDescent="0.25">
      <c r="A99" t="s">
        <v>241</v>
      </c>
      <c r="B99" t="s">
        <v>242</v>
      </c>
      <c r="C99" t="s">
        <v>80</v>
      </c>
      <c r="D99" t="s">
        <v>20</v>
      </c>
      <c r="E99" t="s">
        <v>12</v>
      </c>
      <c r="F99" s="3">
        <v>45232</v>
      </c>
      <c r="G99" s="3">
        <v>45317</v>
      </c>
      <c r="H99">
        <v>3226973.61</v>
      </c>
      <c r="I99" t="s">
        <v>26</v>
      </c>
      <c r="J99">
        <v>100</v>
      </c>
    </row>
    <row r="100" spans="1:10" x14ac:dyDescent="0.25">
      <c r="A100" t="s">
        <v>243</v>
      </c>
      <c r="B100" t="s">
        <v>56</v>
      </c>
      <c r="C100" t="s">
        <v>156</v>
      </c>
      <c r="D100" t="s">
        <v>18</v>
      </c>
      <c r="E100" t="s">
        <v>13</v>
      </c>
      <c r="F100" s="3">
        <v>44948</v>
      </c>
      <c r="G100" s="3">
        <v>45044</v>
      </c>
      <c r="H100">
        <v>6724961.4199999999</v>
      </c>
      <c r="I100" t="s">
        <v>24</v>
      </c>
      <c r="J100">
        <v>36</v>
      </c>
    </row>
    <row r="101" spans="1:10" x14ac:dyDescent="0.25">
      <c r="A101" t="s">
        <v>244</v>
      </c>
      <c r="B101" t="s">
        <v>245</v>
      </c>
      <c r="C101" t="s">
        <v>43</v>
      </c>
      <c r="D101" t="s">
        <v>16</v>
      </c>
      <c r="E101" t="s">
        <v>12</v>
      </c>
      <c r="F101" s="3">
        <v>45507</v>
      </c>
      <c r="G101" s="3">
        <v>45881</v>
      </c>
      <c r="H101">
        <v>3887980.26</v>
      </c>
      <c r="I101" t="s">
        <v>25</v>
      </c>
      <c r="J101">
        <v>100</v>
      </c>
    </row>
    <row r="102" spans="1:10" x14ac:dyDescent="0.25">
      <c r="A102" t="s">
        <v>246</v>
      </c>
      <c r="B102" t="s">
        <v>247</v>
      </c>
      <c r="C102" t="s">
        <v>40</v>
      </c>
      <c r="D102" t="s">
        <v>17</v>
      </c>
      <c r="E102" t="s">
        <v>11</v>
      </c>
      <c r="F102" s="3">
        <v>45763</v>
      </c>
      <c r="G102" s="3">
        <v>45959</v>
      </c>
      <c r="H102">
        <v>4752492.22</v>
      </c>
      <c r="I102" t="s">
        <v>27</v>
      </c>
      <c r="J102">
        <v>76</v>
      </c>
    </row>
    <row r="103" spans="1:10" x14ac:dyDescent="0.25">
      <c r="A103" t="s">
        <v>248</v>
      </c>
      <c r="B103" t="s">
        <v>249</v>
      </c>
      <c r="C103" t="s">
        <v>87</v>
      </c>
      <c r="D103" t="s">
        <v>17</v>
      </c>
      <c r="E103" t="s">
        <v>10</v>
      </c>
      <c r="F103" s="3">
        <v>45028</v>
      </c>
      <c r="G103" s="3">
        <v>45388</v>
      </c>
      <c r="H103">
        <v>4413882.59</v>
      </c>
      <c r="I103" t="s">
        <v>30</v>
      </c>
      <c r="J103">
        <v>2</v>
      </c>
    </row>
    <row r="104" spans="1:10" x14ac:dyDescent="0.25">
      <c r="A104" t="s">
        <v>250</v>
      </c>
      <c r="B104" t="s">
        <v>141</v>
      </c>
      <c r="C104" t="s">
        <v>49</v>
      </c>
      <c r="D104" t="s">
        <v>18</v>
      </c>
      <c r="E104" t="s">
        <v>10</v>
      </c>
      <c r="F104" s="3">
        <v>45493</v>
      </c>
      <c r="G104" s="3">
        <v>45711</v>
      </c>
      <c r="H104">
        <v>1689987.27</v>
      </c>
      <c r="I104" t="s">
        <v>31</v>
      </c>
      <c r="J104">
        <v>12</v>
      </c>
    </row>
    <row r="105" spans="1:10" x14ac:dyDescent="0.25">
      <c r="A105" t="s">
        <v>251</v>
      </c>
      <c r="B105" t="s">
        <v>252</v>
      </c>
      <c r="C105" t="s">
        <v>148</v>
      </c>
      <c r="D105" t="s">
        <v>17</v>
      </c>
      <c r="E105" t="s">
        <v>11</v>
      </c>
      <c r="F105" s="3">
        <v>45193</v>
      </c>
      <c r="G105" s="3">
        <v>45480</v>
      </c>
      <c r="H105">
        <v>5191274.8499999996</v>
      </c>
      <c r="I105" t="s">
        <v>22</v>
      </c>
      <c r="J105">
        <v>49</v>
      </c>
    </row>
    <row r="106" spans="1:10" x14ac:dyDescent="0.25">
      <c r="A106" t="s">
        <v>253</v>
      </c>
      <c r="B106" t="s">
        <v>233</v>
      </c>
      <c r="C106" t="s">
        <v>46</v>
      </c>
      <c r="D106" t="s">
        <v>17</v>
      </c>
      <c r="E106" t="s">
        <v>13</v>
      </c>
      <c r="F106" s="3">
        <v>45288</v>
      </c>
      <c r="G106" s="3">
        <v>45501</v>
      </c>
      <c r="H106">
        <v>1876533.51</v>
      </c>
      <c r="I106" t="s">
        <v>23</v>
      </c>
      <c r="J106">
        <v>64</v>
      </c>
    </row>
    <row r="107" spans="1:10" x14ac:dyDescent="0.25">
      <c r="A107" t="s">
        <v>254</v>
      </c>
      <c r="B107" t="s">
        <v>255</v>
      </c>
      <c r="C107" t="s">
        <v>218</v>
      </c>
      <c r="D107" t="s">
        <v>20</v>
      </c>
      <c r="E107" t="s">
        <v>10</v>
      </c>
      <c r="F107" s="3">
        <v>45017</v>
      </c>
      <c r="G107" s="3">
        <v>45225</v>
      </c>
      <c r="H107">
        <v>2471930.86</v>
      </c>
      <c r="I107" t="s">
        <v>29</v>
      </c>
      <c r="J107">
        <v>18</v>
      </c>
    </row>
    <row r="108" spans="1:10" x14ac:dyDescent="0.25">
      <c r="A108" t="s">
        <v>256</v>
      </c>
      <c r="B108" t="s">
        <v>257</v>
      </c>
      <c r="C108" t="s">
        <v>83</v>
      </c>
      <c r="D108" t="s">
        <v>17</v>
      </c>
      <c r="E108" t="s">
        <v>13</v>
      </c>
      <c r="F108" s="3">
        <v>44975</v>
      </c>
      <c r="G108" s="3">
        <v>45078</v>
      </c>
      <c r="H108">
        <v>4669437.62</v>
      </c>
      <c r="I108" t="s">
        <v>31</v>
      </c>
      <c r="J108">
        <v>61</v>
      </c>
    </row>
    <row r="109" spans="1:10" x14ac:dyDescent="0.25">
      <c r="A109" t="s">
        <v>258</v>
      </c>
      <c r="B109" t="s">
        <v>259</v>
      </c>
      <c r="C109" t="s">
        <v>34</v>
      </c>
      <c r="D109" t="s">
        <v>19</v>
      </c>
      <c r="E109" t="s">
        <v>10</v>
      </c>
      <c r="F109" s="3">
        <v>44958</v>
      </c>
      <c r="G109" s="3">
        <v>45397</v>
      </c>
      <c r="H109">
        <v>4334571.49</v>
      </c>
      <c r="I109" t="s">
        <v>26</v>
      </c>
      <c r="J109">
        <v>14</v>
      </c>
    </row>
    <row r="110" spans="1:10" x14ac:dyDescent="0.25">
      <c r="A110" t="s">
        <v>260</v>
      </c>
      <c r="B110" t="s">
        <v>261</v>
      </c>
      <c r="C110" t="s">
        <v>60</v>
      </c>
      <c r="D110" t="s">
        <v>15</v>
      </c>
      <c r="E110" t="s">
        <v>12</v>
      </c>
      <c r="F110" s="3">
        <v>45419</v>
      </c>
      <c r="G110" s="3">
        <v>45531</v>
      </c>
      <c r="H110">
        <v>791384.86</v>
      </c>
      <c r="I110" t="s">
        <v>29</v>
      </c>
      <c r="J110">
        <v>100</v>
      </c>
    </row>
    <row r="111" spans="1:10" x14ac:dyDescent="0.25">
      <c r="A111" t="s">
        <v>262</v>
      </c>
      <c r="B111" t="s">
        <v>263</v>
      </c>
      <c r="C111" t="s">
        <v>60</v>
      </c>
      <c r="D111" t="s">
        <v>15</v>
      </c>
      <c r="E111" t="s">
        <v>13</v>
      </c>
      <c r="F111" s="3">
        <v>45832</v>
      </c>
      <c r="G111" s="3">
        <v>45983</v>
      </c>
      <c r="H111">
        <v>9067098.25</v>
      </c>
      <c r="I111" t="s">
        <v>27</v>
      </c>
      <c r="J111">
        <v>37</v>
      </c>
    </row>
    <row r="112" spans="1:10" x14ac:dyDescent="0.25">
      <c r="A112" t="s">
        <v>264</v>
      </c>
      <c r="B112" t="s">
        <v>265</v>
      </c>
      <c r="C112" t="s">
        <v>134</v>
      </c>
      <c r="D112" t="s">
        <v>16</v>
      </c>
      <c r="E112" t="s">
        <v>13</v>
      </c>
      <c r="F112" s="3">
        <v>45389</v>
      </c>
      <c r="G112" s="3">
        <v>45618</v>
      </c>
      <c r="H112">
        <v>1224827.8</v>
      </c>
      <c r="I112" t="s">
        <v>31</v>
      </c>
      <c r="J112">
        <v>74</v>
      </c>
    </row>
    <row r="113" spans="1:10" x14ac:dyDescent="0.25">
      <c r="A113" t="s">
        <v>266</v>
      </c>
      <c r="B113" t="s">
        <v>267</v>
      </c>
      <c r="C113" t="s">
        <v>87</v>
      </c>
      <c r="D113" t="s">
        <v>17</v>
      </c>
      <c r="E113" t="s">
        <v>11</v>
      </c>
      <c r="F113" s="3">
        <v>45570</v>
      </c>
      <c r="G113" s="3">
        <v>46039</v>
      </c>
      <c r="H113">
        <v>5484288.5300000003</v>
      </c>
      <c r="I113" t="s">
        <v>22</v>
      </c>
      <c r="J113">
        <v>50</v>
      </c>
    </row>
    <row r="114" spans="1:10" x14ac:dyDescent="0.25">
      <c r="A114" t="s">
        <v>268</v>
      </c>
      <c r="B114" t="s">
        <v>269</v>
      </c>
      <c r="C114" t="s">
        <v>126</v>
      </c>
      <c r="D114" t="s">
        <v>18</v>
      </c>
      <c r="E114" t="s">
        <v>10</v>
      </c>
      <c r="F114" s="3">
        <v>45630</v>
      </c>
      <c r="G114" s="3">
        <v>45860</v>
      </c>
      <c r="H114">
        <v>9010657.1199999992</v>
      </c>
      <c r="I114" t="s">
        <v>23</v>
      </c>
      <c r="J114">
        <v>9</v>
      </c>
    </row>
    <row r="115" spans="1:10" x14ac:dyDescent="0.25">
      <c r="A115" t="s">
        <v>270</v>
      </c>
      <c r="B115" t="s">
        <v>271</v>
      </c>
      <c r="C115" t="s">
        <v>43</v>
      </c>
      <c r="D115" t="s">
        <v>16</v>
      </c>
      <c r="E115" t="s">
        <v>10</v>
      </c>
      <c r="F115" s="3">
        <v>45827</v>
      </c>
      <c r="G115" s="3">
        <v>45941</v>
      </c>
      <c r="H115">
        <v>9562824.7699999996</v>
      </c>
      <c r="I115" t="s">
        <v>24</v>
      </c>
      <c r="J115">
        <v>0</v>
      </c>
    </row>
    <row r="116" spans="1:10" x14ac:dyDescent="0.25">
      <c r="A116" t="s">
        <v>272</v>
      </c>
      <c r="B116" t="s">
        <v>273</v>
      </c>
      <c r="C116" t="s">
        <v>148</v>
      </c>
      <c r="D116" t="s">
        <v>17</v>
      </c>
      <c r="E116" t="s">
        <v>11</v>
      </c>
      <c r="F116" s="3">
        <v>45969</v>
      </c>
      <c r="G116" s="3">
        <v>46275</v>
      </c>
      <c r="H116">
        <v>8600286.5399999991</v>
      </c>
      <c r="I116" t="s">
        <v>26</v>
      </c>
      <c r="J116">
        <v>80</v>
      </c>
    </row>
    <row r="117" spans="1:10" x14ac:dyDescent="0.25">
      <c r="A117" t="s">
        <v>274</v>
      </c>
      <c r="B117" t="s">
        <v>275</v>
      </c>
      <c r="C117" t="s">
        <v>276</v>
      </c>
      <c r="D117" t="s">
        <v>18</v>
      </c>
      <c r="E117" t="s">
        <v>11</v>
      </c>
      <c r="F117" s="3">
        <v>45033</v>
      </c>
      <c r="G117" s="3">
        <v>45351</v>
      </c>
      <c r="H117">
        <v>7445713.0999999996</v>
      </c>
      <c r="I117" t="s">
        <v>29</v>
      </c>
      <c r="J117">
        <v>64</v>
      </c>
    </row>
    <row r="118" spans="1:10" x14ac:dyDescent="0.25">
      <c r="A118" t="s">
        <v>277</v>
      </c>
      <c r="B118" t="s">
        <v>259</v>
      </c>
      <c r="C118" t="s">
        <v>73</v>
      </c>
      <c r="D118" t="s">
        <v>19</v>
      </c>
      <c r="E118" t="s">
        <v>10</v>
      </c>
      <c r="F118" s="3">
        <v>45735</v>
      </c>
      <c r="G118" s="3">
        <v>46156</v>
      </c>
      <c r="H118">
        <v>2638434.2400000002</v>
      </c>
      <c r="I118" t="s">
        <v>29</v>
      </c>
      <c r="J118">
        <v>5</v>
      </c>
    </row>
    <row r="119" spans="1:10" x14ac:dyDescent="0.25">
      <c r="A119" t="s">
        <v>278</v>
      </c>
      <c r="B119" t="s">
        <v>279</v>
      </c>
      <c r="C119" t="s">
        <v>148</v>
      </c>
      <c r="D119" t="s">
        <v>17</v>
      </c>
      <c r="E119" t="s">
        <v>12</v>
      </c>
      <c r="F119" s="3">
        <v>45040</v>
      </c>
      <c r="G119" s="3">
        <v>45314</v>
      </c>
      <c r="H119">
        <v>4707135.26</v>
      </c>
      <c r="I119" t="s">
        <v>27</v>
      </c>
      <c r="J119">
        <v>100</v>
      </c>
    </row>
    <row r="120" spans="1:10" x14ac:dyDescent="0.25">
      <c r="A120" t="s">
        <v>280</v>
      </c>
      <c r="B120" t="s">
        <v>281</v>
      </c>
      <c r="C120" t="s">
        <v>73</v>
      </c>
      <c r="D120" t="s">
        <v>19</v>
      </c>
      <c r="E120" t="s">
        <v>13</v>
      </c>
      <c r="F120" s="3">
        <v>45233</v>
      </c>
      <c r="G120" s="3">
        <v>45452</v>
      </c>
      <c r="H120">
        <v>9133472.3100000005</v>
      </c>
      <c r="I120" t="s">
        <v>22</v>
      </c>
      <c r="J120">
        <v>43</v>
      </c>
    </row>
    <row r="121" spans="1:10" x14ac:dyDescent="0.25">
      <c r="A121" t="s">
        <v>282</v>
      </c>
      <c r="B121" t="s">
        <v>209</v>
      </c>
      <c r="C121" t="s">
        <v>111</v>
      </c>
      <c r="D121" t="s">
        <v>20</v>
      </c>
      <c r="E121" t="s">
        <v>11</v>
      </c>
      <c r="F121" s="3">
        <v>45932</v>
      </c>
      <c r="G121" s="3">
        <v>46324</v>
      </c>
      <c r="H121">
        <v>7944808.4100000001</v>
      </c>
      <c r="I121" t="s">
        <v>26</v>
      </c>
      <c r="J121">
        <v>55</v>
      </c>
    </row>
  </sheetData>
  <phoneticPr fontId="8" type="noConversion"/>
  <dataValidations count="1">
    <dataValidation type="whole" allowBlank="1" showInputMessage="1" showErrorMessage="1" sqref="J2:J498" xr:uid="{5616157D-9F47-493E-9FA4-EF2D8E76C1E2}">
      <formula1>0</formula1>
      <formula2>100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F35D2AB-3317-4FA2-84AE-3E0ED25448A1}">
          <x14:formula1>
            <xm:f>Lists!$A$2:$A$5</xm:f>
          </x14:formula1>
          <xm:sqref>E2:E498</xm:sqref>
        </x14:dataValidation>
        <x14:dataValidation type="list" allowBlank="1" showInputMessage="1" showErrorMessage="1" xr:uid="{AB117B5D-7849-4DD5-8C03-8B741E5DAED2}">
          <x14:formula1>
            <xm:f>Lists!$B$2:$B$7</xm:f>
          </x14:formula1>
          <xm:sqref>D2:D498</xm:sqref>
        </x14:dataValidation>
        <x14:dataValidation type="list" allowBlank="1" showInputMessage="1" showErrorMessage="1" xr:uid="{A4A330B5-37A0-464A-BC72-67CD32F60C44}">
          <x14:formula1>
            <xm:f>Lists!$C$2:$C$11</xm:f>
          </x14:formula1>
          <xm:sqref>I2:I498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EFE6-F062-45DF-8788-05409989BF1B}">
  <sheetPr codeName="Sheet5"/>
  <dimension ref="A1:K7"/>
  <sheetViews>
    <sheetView workbookViewId="0"/>
  </sheetViews>
  <sheetFormatPr defaultRowHeight="15" x14ac:dyDescent="0.25"/>
  <sheetData>
    <row r="1" spans="1:11" x14ac:dyDescent="0.25">
      <c r="A1" t="s">
        <v>4</v>
      </c>
      <c r="B1" t="s">
        <v>291</v>
      </c>
      <c r="D1" t="s">
        <v>3</v>
      </c>
      <c r="E1" t="s">
        <v>292</v>
      </c>
      <c r="G1" t="s">
        <v>293</v>
      </c>
      <c r="H1" t="s">
        <v>294</v>
      </c>
      <c r="J1" t="s">
        <v>297</v>
      </c>
      <c r="K1" t="s">
        <v>292</v>
      </c>
    </row>
    <row r="2" spans="1:11" x14ac:dyDescent="0.25">
      <c r="A2" t="s">
        <v>12</v>
      </c>
      <c r="B2">
        <f>COUNTIF(Data!E:E,"Completed")</f>
        <v>28</v>
      </c>
      <c r="D2" t="s">
        <v>18</v>
      </c>
      <c r="E2">
        <f>SUMIF(Data!D:D,"Americas",Data!H:H)</f>
        <v>155174577.53000003</v>
      </c>
      <c r="G2" t="s">
        <v>295</v>
      </c>
      <c r="H2">
        <f>AVERAGE(Data!J:J)</f>
        <v>59.174999999999997</v>
      </c>
      <c r="J2" t="str">
        <f>INDEX(Data!B:B,MATCH(LARGE(Data!H:H,1),Data!H:H,0))</f>
        <v>Brand Refresh X</v>
      </c>
      <c r="K2">
        <f>LARGE(Data!H:H,1)</f>
        <v>9994204.1799999997</v>
      </c>
    </row>
    <row r="3" spans="1:11" x14ac:dyDescent="0.25">
      <c r="A3" t="s">
        <v>11</v>
      </c>
      <c r="B3">
        <f>COUNTIF(Data!E:E,"Ongoing")</f>
        <v>40</v>
      </c>
      <c r="D3" t="s">
        <v>17</v>
      </c>
      <c r="E3">
        <f>SUMIF(Data!D:D,"Europe",Data!H:H)</f>
        <v>223521924.19</v>
      </c>
      <c r="G3" t="s">
        <v>296</v>
      </c>
      <c r="H3">
        <f>ROUND(COUNTIF(Data!E:E,"Completed")/(COUNTA(Data!A:A)-1)*100,1)</f>
        <v>23.3</v>
      </c>
      <c r="J3" t="str">
        <f>INDEX(Data!B:B,MATCH(LARGE(Data!H:H,2),Data!H:H,0))</f>
        <v>Customer Experience 2024</v>
      </c>
      <c r="K3">
        <f>LARGE(Data!H:H,2)</f>
        <v>9798312.1500000004</v>
      </c>
    </row>
    <row r="4" spans="1:11" x14ac:dyDescent="0.25">
      <c r="A4" t="s">
        <v>13</v>
      </c>
      <c r="B4">
        <f>COUNTIF(Data!E:E,"Delayed")</f>
        <v>28</v>
      </c>
      <c r="D4" t="s">
        <v>16</v>
      </c>
      <c r="E4">
        <f>SUMIF(Data!D:D,"Asia",Data!H:H)</f>
        <v>78875519.639999986</v>
      </c>
      <c r="J4" t="str">
        <f>INDEX(Data!B:B,MATCH(LARGE(Data!H:H,3),Data!H:H,0))</f>
        <v>Blockchain Solution 2024</v>
      </c>
      <c r="K4">
        <f>LARGE(Data!H:H,3)</f>
        <v>9791422.9000000004</v>
      </c>
    </row>
    <row r="5" spans="1:11" x14ac:dyDescent="0.25">
      <c r="A5" t="s">
        <v>10</v>
      </c>
      <c r="B5">
        <f>COUNTIF(Data!E:E,"Planned")</f>
        <v>24</v>
      </c>
      <c r="D5" t="s">
        <v>19</v>
      </c>
      <c r="E5">
        <f>SUMIF(Data!D:D,"Asia Pacific",Data!H:H)</f>
        <v>65669292.859999999</v>
      </c>
      <c r="J5" t="str">
        <f>INDEX(Data!B:B,MATCH(LARGE(Data!H:H,4),Data!H:H,0))</f>
        <v>Sustainability Project J</v>
      </c>
      <c r="K5">
        <f>LARGE(Data!H:H,4)</f>
        <v>9686749.3200000003</v>
      </c>
    </row>
    <row r="6" spans="1:11" x14ac:dyDescent="0.25">
      <c r="D6" t="s">
        <v>20</v>
      </c>
      <c r="E6">
        <f>SUMIF(Data!D:D,"Middle East",Data!H:H)</f>
        <v>75386943.879999995</v>
      </c>
      <c r="J6" t="str">
        <f>INDEX(Data!B:B,MATCH(LARGE(Data!H:H,5),Data!H:H,0))</f>
        <v>Talent Acquisition 2026</v>
      </c>
      <c r="K6">
        <f>LARGE(Data!H:H,5)</f>
        <v>9645878.1899999995</v>
      </c>
    </row>
    <row r="7" spans="1:11" x14ac:dyDescent="0.25">
      <c r="D7" t="s">
        <v>15</v>
      </c>
      <c r="E7">
        <f>SUMIF(Data!D:D,"Africa",Data!H:H)</f>
        <v>26838423.539999999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020E-7051-442B-99EF-9FF10213C5E2}">
  <sheetPr codeName="Sheet3"/>
  <dimension ref="A1:S38"/>
  <sheetViews>
    <sheetView tabSelected="1" zoomScale="97" zoomScaleNormal="97" workbookViewId="0">
      <selection activeCell="R29" sqref="R29"/>
    </sheetView>
  </sheetViews>
  <sheetFormatPr defaultRowHeight="15" x14ac:dyDescent="0.25"/>
  <cols>
    <col min="1" max="1" width="15.42578125" customWidth="1"/>
    <col min="2" max="2" width="9.28515625" bestFit="1" customWidth="1"/>
    <col min="3" max="3" width="12.42578125" bestFit="1" customWidth="1"/>
    <col min="4" max="4" width="12" bestFit="1" customWidth="1"/>
    <col min="6" max="6" width="12.85546875" bestFit="1" customWidth="1"/>
    <col min="9" max="9" width="7.5703125" customWidth="1"/>
    <col min="10" max="10" width="21" bestFit="1" customWidth="1"/>
    <col min="11" max="11" width="14.7109375" bestFit="1" customWidth="1"/>
    <col min="12" max="12" width="8.42578125" customWidth="1"/>
    <col min="13" max="13" width="12.42578125" bestFit="1" customWidth="1"/>
    <col min="15" max="15" width="9.28515625" bestFit="1" customWidth="1"/>
    <col min="16" max="16" width="12.5703125" bestFit="1" customWidth="1"/>
  </cols>
  <sheetData>
    <row r="1" spans="1:10" ht="31.5" x14ac:dyDescent="0.5">
      <c r="A1" s="4" t="s">
        <v>306</v>
      </c>
      <c r="I1" s="1" t="s">
        <v>284</v>
      </c>
      <c r="J1" s="5">
        <f ca="1">NOW() + TIME(1,0,0)</f>
        <v>46133.689790972217</v>
      </c>
    </row>
    <row r="2" spans="1:10" ht="15.75" x14ac:dyDescent="0.25">
      <c r="A2" s="19" t="s">
        <v>283</v>
      </c>
    </row>
    <row r="4" spans="1:10" ht="18.75" x14ac:dyDescent="0.3">
      <c r="A4" s="10" t="s">
        <v>307</v>
      </c>
      <c r="B4" s="10"/>
      <c r="C4" s="10"/>
      <c r="D4" s="10"/>
      <c r="E4" s="10"/>
      <c r="F4" s="10"/>
      <c r="G4" s="10"/>
      <c r="H4" s="10"/>
      <c r="I4" s="10"/>
    </row>
    <row r="6" spans="1:10" x14ac:dyDescent="0.25">
      <c r="A6" s="16" t="s">
        <v>285</v>
      </c>
      <c r="B6" s="16"/>
      <c r="C6" s="16"/>
      <c r="D6" s="16" t="s">
        <v>286</v>
      </c>
      <c r="E6" s="16"/>
      <c r="F6" s="16"/>
      <c r="G6" s="16" t="s">
        <v>287</v>
      </c>
      <c r="H6" s="16"/>
      <c r="I6" s="16"/>
    </row>
    <row r="7" spans="1:10" ht="36" x14ac:dyDescent="0.55000000000000004">
      <c r="A7" s="17">
        <f>COUNTA(Data!A:A)-1</f>
        <v>120</v>
      </c>
      <c r="B7" s="13"/>
      <c r="C7" s="13"/>
      <c r="D7" s="18">
        <f>SUM(Data!H:H)</f>
        <v>625466681.63999963</v>
      </c>
      <c r="E7" s="13"/>
      <c r="F7" s="13"/>
      <c r="G7" s="18">
        <f>IFERROR(AVERAGE(Data!H:H),0)</f>
        <v>5212222.3469999973</v>
      </c>
      <c r="H7" s="13"/>
      <c r="I7" s="13"/>
    </row>
    <row r="9" spans="1:10" x14ac:dyDescent="0.25">
      <c r="A9" s="11" t="s">
        <v>288</v>
      </c>
      <c r="B9" s="11"/>
      <c r="C9" s="11"/>
      <c r="D9" s="14" t="s">
        <v>289</v>
      </c>
      <c r="E9" s="14"/>
      <c r="F9" s="14"/>
      <c r="G9" s="15" t="s">
        <v>290</v>
      </c>
      <c r="H9" s="15"/>
      <c r="I9" s="15"/>
    </row>
    <row r="10" spans="1:10" ht="26.25" x14ac:dyDescent="0.4">
      <c r="A10" s="12">
        <f>COUNTIF(Data!E:E,"Completed")</f>
        <v>28</v>
      </c>
      <c r="B10" s="13"/>
      <c r="C10" s="13"/>
      <c r="D10" s="12">
        <f>COUNTIF(Data!E:E,"Ongoing")</f>
        <v>40</v>
      </c>
      <c r="E10" s="13"/>
      <c r="F10" s="13"/>
      <c r="G10" s="12">
        <f>COUNTIF(Data!E:E,"Delayed")</f>
        <v>28</v>
      </c>
      <c r="H10" s="13"/>
      <c r="I10" s="13"/>
    </row>
    <row r="13" spans="1:10" ht="18.75" x14ac:dyDescent="0.3">
      <c r="A13" s="10" t="s">
        <v>308</v>
      </c>
      <c r="B13" s="10"/>
      <c r="C13" s="10"/>
      <c r="D13" s="10"/>
      <c r="E13" s="10"/>
      <c r="F13" s="10"/>
      <c r="G13" s="10"/>
      <c r="H13" s="10"/>
      <c r="I13" s="10"/>
    </row>
    <row r="27" spans="1:19" ht="18.75" x14ac:dyDescent="0.3">
      <c r="A27" s="10" t="s">
        <v>309</v>
      </c>
      <c r="B27" s="10"/>
      <c r="C27" s="10"/>
      <c r="D27" s="10"/>
      <c r="E27" s="10"/>
      <c r="F27" s="10"/>
      <c r="G27" s="10"/>
      <c r="H27" s="10"/>
      <c r="I27" s="10"/>
      <c r="K27" s="10" t="s">
        <v>310</v>
      </c>
      <c r="L27" s="10"/>
      <c r="M27" s="10"/>
      <c r="N27" s="10"/>
      <c r="O27" s="10"/>
      <c r="P27" s="10"/>
      <c r="Q27" s="10"/>
      <c r="R27" s="10"/>
      <c r="S27" s="10"/>
    </row>
    <row r="28" spans="1:19" x14ac:dyDescent="0.25">
      <c r="A28" s="6" t="s">
        <v>3</v>
      </c>
      <c r="B28" s="6" t="s">
        <v>298</v>
      </c>
      <c r="C28" s="6" t="s">
        <v>299</v>
      </c>
      <c r="D28" s="6" t="s">
        <v>300</v>
      </c>
      <c r="E28" s="6" t="s">
        <v>296</v>
      </c>
      <c r="F28" s="6" t="s">
        <v>301</v>
      </c>
      <c r="K28" s="6" t="s">
        <v>8</v>
      </c>
      <c r="L28" s="6" t="s">
        <v>302</v>
      </c>
      <c r="M28" s="6" t="s">
        <v>299</v>
      </c>
      <c r="N28" s="6" t="s">
        <v>303</v>
      </c>
      <c r="O28" s="6" t="s">
        <v>12</v>
      </c>
      <c r="P28" s="6" t="s">
        <v>304</v>
      </c>
    </row>
    <row r="29" spans="1:19" x14ac:dyDescent="0.25">
      <c r="A29" s="7" t="s">
        <v>18</v>
      </c>
      <c r="B29" s="7">
        <f>COUNTIFS(Data!D:D,"Americas")</f>
        <v>30</v>
      </c>
      <c r="C29" s="8">
        <f>SUMIF(Data!D:D,"Americas",Data!H:H)</f>
        <v>155174577.53000003</v>
      </c>
      <c r="D29" s="8">
        <f>IFERROR(AVERAGEIF(Data!D:D,"Americas",Data!H:H),0)</f>
        <v>5172485.9176666681</v>
      </c>
      <c r="E29" s="7" t="str">
        <f>IFERROR(ROUND(COUNTIFS(Data!D:D,"Americas",Data!E:E,"Completed")/COUNTIF(Data!D:D,"Americas")*100,1),0) &amp; "%"</f>
        <v>13.3%</v>
      </c>
      <c r="F29" s="7" t="str">
        <f>IFERROR(ROUND(COUNTIFS(Data!D:D,"Americas",Data!E:E,"Ongoing")/COUNTIF(Data!D:D,"Americas")*100,1),0) &amp; "%"</f>
        <v>33.3%</v>
      </c>
      <c r="K29" s="7" t="s">
        <v>22</v>
      </c>
      <c r="L29" s="7">
        <f>COUNTIF(Data!I:I,"John Smith")</f>
        <v>15</v>
      </c>
      <c r="M29" s="8">
        <f>SUMIF(Data!I:I,"John Smith",Data!H:H)</f>
        <v>112469669.36</v>
      </c>
      <c r="N29" s="7" t="str">
        <f>IFERROR(ROUND(AVERAGEIF(Data!I:I,"John Smith",Data!J:J),1),0) &amp; "%"</f>
        <v>67.9%</v>
      </c>
      <c r="O29" s="7">
        <f>COUNTIFS(Data!I:I,"John Smith",Data!E:E,"Completed")</f>
        <v>2</v>
      </c>
      <c r="P29" s="9" t="str">
        <f t="shared" ref="P29:P38" si="0">IFERROR(ROUND(O29/L29*100,1),0) &amp; "%"</f>
        <v>13.3%</v>
      </c>
    </row>
    <row r="30" spans="1:19" x14ac:dyDescent="0.25">
      <c r="A30" s="7" t="s">
        <v>17</v>
      </c>
      <c r="B30" s="7">
        <f>COUNTIFS(Data!D:D,"Europe")</f>
        <v>44</v>
      </c>
      <c r="C30" s="8">
        <f>SUMIF(Data!D:D,"Europe",Data!H:H)</f>
        <v>223521924.19</v>
      </c>
      <c r="D30" s="8">
        <f>IFERROR(AVERAGEIF(Data!D:D,"Europe",Data!H:H),0)</f>
        <v>5080043.731590909</v>
      </c>
      <c r="E30" s="7" t="str">
        <f>IFERROR(ROUND(COUNTIFS(Data!D:D,"Europe",Data!E:E,"Completed")/COUNTIF(Data!D:D,"Europe")*100,1),0) &amp; "%"</f>
        <v>20.5%</v>
      </c>
      <c r="F30" s="7" t="str">
        <f>IFERROR(ROUND(COUNTIFS(Data!D:D,"Europe",Data!E:E,"Ongoing")/COUNTIF(Data!D:D,"Europe")*100,1),0) &amp; "%"</f>
        <v>43.2%</v>
      </c>
      <c r="K30" s="7" t="s">
        <v>23</v>
      </c>
      <c r="L30" s="7">
        <f>COUNTIF(Data!I:I,"Sarah Johnson")</f>
        <v>10</v>
      </c>
      <c r="M30" s="8">
        <f>SUMIF(Data!I:I,"Sarah Johnson",Data!H:H)</f>
        <v>61687693.899999999</v>
      </c>
      <c r="N30" s="7" t="str">
        <f>IFERROR(ROUND(AVERAGEIF(Data!I:I,"Sarah Johnson",Data!J:J),1),0) &amp; "%"</f>
        <v>60.7%</v>
      </c>
      <c r="O30" s="7">
        <f>COUNTIFS(Data!I:I,"Sarah Johnson",Data!E:E,"Completed")</f>
        <v>2</v>
      </c>
      <c r="P30" s="9" t="str">
        <f t="shared" si="0"/>
        <v>20%</v>
      </c>
    </row>
    <row r="31" spans="1:19" x14ac:dyDescent="0.25">
      <c r="A31" s="7" t="s">
        <v>16</v>
      </c>
      <c r="B31" s="7">
        <f>COUNTIFS(Data!D:D,"Asia")</f>
        <v>15</v>
      </c>
      <c r="C31" s="8">
        <f>SUMIF(Data!D:D,"Asia",Data!H:H)</f>
        <v>78875519.639999986</v>
      </c>
      <c r="D31" s="8">
        <f>IFERROR(AVERAGEIF(Data!D:D,"Asia",Data!H:H),0)</f>
        <v>5258367.9759999989</v>
      </c>
      <c r="E31" s="7" t="str">
        <f>IFERROR(ROUND(COUNTIFS(Data!D:D,"Asia",Data!E:E,"Completed")/COUNTIF(Data!D:D,"Asia")*100,1),0) &amp; "%"</f>
        <v>40%</v>
      </c>
      <c r="F31" s="7" t="str">
        <f>IFERROR(ROUND(COUNTIFS(Data!D:D,"Asia",Data!E:E,"Ongoing")/COUNTIF(Data!D:D,"Asia")*100,1),0) &amp; "%"</f>
        <v>20%</v>
      </c>
      <c r="K31" s="7" t="s">
        <v>24</v>
      </c>
      <c r="L31" s="7">
        <f>COUNTIF(Data!I:I,"Michael Brown")</f>
        <v>15</v>
      </c>
      <c r="M31" s="8">
        <f>SUMIF(Data!I:I,"Michael Brown",Data!H:H)</f>
        <v>72575715.060000002</v>
      </c>
      <c r="N31" s="7" t="str">
        <f>IFERROR(ROUND(AVERAGEIF(Data!I:I,"Michael Brown",Data!J:J),1),0) &amp; "%"</f>
        <v>57.8%</v>
      </c>
      <c r="O31" s="7">
        <f>COUNTIFS(Data!I:I,"Michael Brown",Data!E:E,"Completed")</f>
        <v>4</v>
      </c>
      <c r="P31" s="9" t="str">
        <f t="shared" si="0"/>
        <v>26.7%</v>
      </c>
    </row>
    <row r="32" spans="1:19" x14ac:dyDescent="0.25">
      <c r="A32" s="7" t="s">
        <v>19</v>
      </c>
      <c r="B32" s="7">
        <f>COUNTIFS(Data!D:D,"Asia Pacific")</f>
        <v>13</v>
      </c>
      <c r="C32" s="8">
        <f>SUMIF(Data!D:D,"Asia Pacific",Data!H:H)</f>
        <v>65669292.859999999</v>
      </c>
      <c r="D32" s="8">
        <f>IFERROR(AVERAGEIF(Data!D:D,"Asia Pacific",Data!H:H),0)</f>
        <v>5051484.0661538457</v>
      </c>
      <c r="E32" s="7" t="str">
        <f>IFERROR(ROUND(COUNTIFS(Data!D:D,"Asia Pacific",Data!E:E,"Completed")/COUNTIF(Data!D:D,"Asia Pacific")*100,1),0) &amp; "%"</f>
        <v>30.8%</v>
      </c>
      <c r="F32" s="7" t="str">
        <f>IFERROR(ROUND(COUNTIFS(Data!D:D,"Asia Pacific",Data!E:E,"Ongoing")/COUNTIF(Data!D:D,"Asia Pacific")*100,1),0) &amp; "%"</f>
        <v>23.1%</v>
      </c>
      <c r="K32" s="7" t="s">
        <v>25</v>
      </c>
      <c r="L32" s="7">
        <f>COUNTIF(Data!I:I,"Emily Davis")</f>
        <v>11</v>
      </c>
      <c r="M32" s="8">
        <f>SUMIF(Data!I:I,"Emily Davis",Data!H:H)</f>
        <v>45799214.440000005</v>
      </c>
      <c r="N32" s="7" t="str">
        <f>IFERROR(ROUND(AVERAGEIF(Data!I:I,"Emily Davis",Data!J:J),1),0) &amp; "%"</f>
        <v>46.2%</v>
      </c>
      <c r="O32" s="7">
        <f>COUNTIFS(Data!I:I,"Emily Davis",Data!E:E,"Completed")</f>
        <v>2</v>
      </c>
      <c r="P32" s="9" t="str">
        <f t="shared" si="0"/>
        <v>18.2%</v>
      </c>
    </row>
    <row r="33" spans="1:16" x14ac:dyDescent="0.25">
      <c r="A33" s="7" t="s">
        <v>20</v>
      </c>
      <c r="B33" s="7">
        <f>COUNTIFS(Data!D:D,"Middle East")</f>
        <v>13</v>
      </c>
      <c r="C33" s="8">
        <f>SUMIF(Data!D:D,"Middle East",Data!H:H)</f>
        <v>75386943.879999995</v>
      </c>
      <c r="D33" s="8">
        <f>IFERROR(AVERAGEIF(Data!D:D,"Middle East",Data!H:H),0)</f>
        <v>5798995.6830769228</v>
      </c>
      <c r="E33" s="7" t="str">
        <f>IFERROR(ROUND(COUNTIFS(Data!D:D,"Middle East",Data!E:E,"Completed")/COUNTIF(Data!D:D,"Middle East")*100,1),0) &amp; "%"</f>
        <v>23.1%</v>
      </c>
      <c r="F33" s="7" t="str">
        <f>IFERROR(ROUND(COUNTIFS(Data!D:D,"Middle East",Data!E:E,"Ongoing")/COUNTIF(Data!D:D,"Middle East")*100,1),0) &amp; "%"</f>
        <v>23.1%</v>
      </c>
      <c r="K33" s="7" t="s">
        <v>26</v>
      </c>
      <c r="L33" s="7">
        <f>COUNTIF(Data!I:I,"David Wilson")</f>
        <v>18</v>
      </c>
      <c r="M33" s="8">
        <f>SUMIF(Data!I:I,"David Wilson",Data!H:H)</f>
        <v>100438028.85999998</v>
      </c>
      <c r="N33" s="7" t="str">
        <f>IFERROR(ROUND(AVERAGEIF(Data!I:I,"David Wilson",Data!J:J),1),0) &amp; "%"</f>
        <v>63.8%</v>
      </c>
      <c r="O33" s="7">
        <f>COUNTIFS(Data!I:I,"David Wilson",Data!E:E,"Completed")</f>
        <v>3</v>
      </c>
      <c r="P33" s="9" t="str">
        <f t="shared" si="0"/>
        <v>16.7%</v>
      </c>
    </row>
    <row r="34" spans="1:16" x14ac:dyDescent="0.25">
      <c r="A34" s="7" t="s">
        <v>15</v>
      </c>
      <c r="B34" s="7">
        <f>COUNTIFS(Data!D:D,"Africa")</f>
        <v>5</v>
      </c>
      <c r="C34" s="8">
        <f>SUMIF(Data!D:D,"Africa",Data!H:H)</f>
        <v>26838423.539999999</v>
      </c>
      <c r="D34" s="8">
        <f>IFERROR(AVERAGEIF(Data!D:D,"Africa",Data!H:H),0)</f>
        <v>5367684.7079999996</v>
      </c>
      <c r="E34" s="7" t="str">
        <f>IFERROR(ROUND(COUNTIFS(Data!D:D,"Africa",Data!E:E,"Completed")/COUNTIF(Data!D:D,"Africa")*100,1),0) &amp; "%"</f>
        <v>40%</v>
      </c>
      <c r="F34" s="7" t="str">
        <f>IFERROR(ROUND(COUNTIFS(Data!D:D,"Africa",Data!E:E,"Ongoing")/COUNTIF(Data!D:D,"Africa")*100,1),0) &amp; "%"</f>
        <v>40%</v>
      </c>
      <c r="K34" s="7" t="s">
        <v>27</v>
      </c>
      <c r="L34" s="7">
        <f>COUNTIF(Data!I:I,"Lisa Anderson")</f>
        <v>13</v>
      </c>
      <c r="M34" s="8">
        <f>SUMIF(Data!I:I,"Lisa Anderson",Data!H:H)</f>
        <v>73834335.620000005</v>
      </c>
      <c r="N34" s="7" t="str">
        <f>IFERROR(ROUND(AVERAGEIF(Data!I:I,"Lisa Anderson",Data!J:J),1),0) &amp; "%"</f>
        <v>72.9%</v>
      </c>
      <c r="O34" s="7">
        <f>COUNTIFS(Data!I:I,"Lisa Anderson",Data!E:E,"Completed")</f>
        <v>6</v>
      </c>
      <c r="P34" s="9" t="str">
        <f t="shared" si="0"/>
        <v>46.2%</v>
      </c>
    </row>
    <row r="35" spans="1:16" x14ac:dyDescent="0.25">
      <c r="K35" s="7" t="s">
        <v>28</v>
      </c>
      <c r="L35" s="7">
        <f>COUNTIF(Data!I:I,"Robert Taylor")</f>
        <v>10</v>
      </c>
      <c r="M35" s="8">
        <f>SUMIF(Data!I:I,"Robert Taylor",Data!H:H)</f>
        <v>44193392.310000002</v>
      </c>
      <c r="N35" s="7" t="str">
        <f>IFERROR(ROUND(AVERAGEIF(Data!I:I,"Robert Taylor",Data!J:J),1),0) &amp; "%"</f>
        <v>47.8%</v>
      </c>
      <c r="O35" s="7">
        <f>COUNTIFS(Data!I:I,"Robert Taylor",Data!E:E,"Completed")</f>
        <v>2</v>
      </c>
      <c r="P35" s="9" t="str">
        <f t="shared" si="0"/>
        <v>20%</v>
      </c>
    </row>
    <row r="36" spans="1:16" ht="18.75" x14ac:dyDescent="0.3">
      <c r="A36" s="10" t="s">
        <v>311</v>
      </c>
      <c r="B36" s="10"/>
      <c r="C36" s="10"/>
      <c r="D36" s="10"/>
      <c r="E36" s="10"/>
      <c r="F36" s="10"/>
      <c r="G36" s="10"/>
      <c r="H36" s="10"/>
      <c r="I36" s="10"/>
      <c r="K36" s="7" t="s">
        <v>29</v>
      </c>
      <c r="L36" s="7">
        <f>COUNTIF(Data!I:I,"Maria Garcia")</f>
        <v>12</v>
      </c>
      <c r="M36" s="8">
        <f>SUMIF(Data!I:I,"Maria Garcia",Data!H:H)</f>
        <v>48696728.290000007</v>
      </c>
      <c r="N36" s="7" t="str">
        <f>IFERROR(ROUND(AVERAGEIF(Data!I:I,"Maria Garcia",Data!J:J),1),0) &amp; "%"</f>
        <v>53.2%</v>
      </c>
      <c r="O36" s="7">
        <f>COUNTIFS(Data!I:I,"Maria Garcia",Data!E:E,"Completed")</f>
        <v>4</v>
      </c>
      <c r="P36" s="9" t="str">
        <f t="shared" si="0"/>
        <v>33.3%</v>
      </c>
    </row>
    <row r="37" spans="1:16" x14ac:dyDescent="0.25">
      <c r="A37" s="2" t="s">
        <v>0</v>
      </c>
      <c r="B37" s="2" t="s">
        <v>1</v>
      </c>
      <c r="C37" s="2" t="s">
        <v>4</v>
      </c>
      <c r="D37" s="2" t="s">
        <v>305</v>
      </c>
      <c r="E37" s="2" t="s">
        <v>8</v>
      </c>
      <c r="F37" s="2" t="s">
        <v>292</v>
      </c>
      <c r="K37" s="7" t="s">
        <v>30</v>
      </c>
      <c r="L37" s="7">
        <f>COUNTIF(Data!I:I,"James Martinez")</f>
        <v>4</v>
      </c>
      <c r="M37" s="8">
        <f>SUMIF(Data!I:I,"James Martinez",Data!H:H)</f>
        <v>21494033.77</v>
      </c>
      <c r="N37" s="7" t="str">
        <f>IFERROR(ROUND(AVERAGEIF(Data!I:I,"James Martinez",Data!J:J),1),0) &amp; "%"</f>
        <v>35.8%</v>
      </c>
      <c r="O37" s="7">
        <f>COUNTIFS(Data!I:I,"James Martinez",Data!E:E,"Completed")</f>
        <v>0</v>
      </c>
      <c r="P37" s="9" t="str">
        <f t="shared" si="0"/>
        <v>0%</v>
      </c>
    </row>
    <row r="38" spans="1:16" x14ac:dyDescent="0.25">
      <c r="K38" s="7" t="s">
        <v>31</v>
      </c>
      <c r="L38" s="7">
        <f>COUNTIF(Data!I:I,"Patricia Lee")</f>
        <v>12</v>
      </c>
      <c r="M38" s="8">
        <f>SUMIF(Data!I:I,"Patricia Lee",Data!H:H)</f>
        <v>44277870.029999994</v>
      </c>
      <c r="N38" s="7" t="str">
        <f>IFERROR(ROUND(AVERAGEIF(Data!I:I,"Patricia Lee",Data!J:J),1),0) &amp; "%"</f>
        <v>62.1%</v>
      </c>
      <c r="O38" s="7">
        <f>COUNTIFS(Data!I:I,"Patricia Lee",Data!E:E,"Completed")</f>
        <v>3</v>
      </c>
      <c r="P38" s="9" t="str">
        <f t="shared" si="0"/>
        <v>25%</v>
      </c>
    </row>
  </sheetData>
  <mergeCells count="17">
    <mergeCell ref="A4:I4"/>
    <mergeCell ref="A6:C6"/>
    <mergeCell ref="A7:C7"/>
    <mergeCell ref="D6:F6"/>
    <mergeCell ref="D7:F7"/>
    <mergeCell ref="G6:I6"/>
    <mergeCell ref="G7:I7"/>
    <mergeCell ref="A13:I13"/>
    <mergeCell ref="A27:I27"/>
    <mergeCell ref="K27:S27"/>
    <mergeCell ref="A36:I36"/>
    <mergeCell ref="A9:C9"/>
    <mergeCell ref="A10:C10"/>
    <mergeCell ref="D9:F9"/>
    <mergeCell ref="D10:F10"/>
    <mergeCell ref="G9:I9"/>
    <mergeCell ref="G10:I1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DB2E-29B0-44BC-8A91-F5A90007ECB2}">
  <sheetPr codeName="Sheet4"/>
  <dimension ref="A1:C11"/>
  <sheetViews>
    <sheetView workbookViewId="0"/>
  </sheetViews>
  <sheetFormatPr defaultRowHeight="15" x14ac:dyDescent="0.25"/>
  <cols>
    <col min="1" max="1" width="9.85546875" bestFit="1" customWidth="1"/>
    <col min="2" max="2" width="10.7109375" bestFit="1" customWidth="1"/>
    <col min="3" max="3" width="14" bestFit="1" customWidth="1"/>
  </cols>
  <sheetData>
    <row r="1" spans="1:3" x14ac:dyDescent="0.25">
      <c r="A1" s="1" t="s">
        <v>4</v>
      </c>
      <c r="B1" s="1" t="s">
        <v>14</v>
      </c>
      <c r="C1" s="1" t="s">
        <v>21</v>
      </c>
    </row>
    <row r="2" spans="1:3" x14ac:dyDescent="0.25">
      <c r="A2" t="s">
        <v>10</v>
      </c>
      <c r="B2" t="s">
        <v>15</v>
      </c>
      <c r="C2" t="s">
        <v>22</v>
      </c>
    </row>
    <row r="3" spans="1:3" x14ac:dyDescent="0.25">
      <c r="A3" t="s">
        <v>11</v>
      </c>
      <c r="B3" t="s">
        <v>16</v>
      </c>
      <c r="C3" t="s">
        <v>23</v>
      </c>
    </row>
    <row r="4" spans="1:3" x14ac:dyDescent="0.25">
      <c r="A4" t="s">
        <v>12</v>
      </c>
      <c r="B4" t="s">
        <v>17</v>
      </c>
      <c r="C4" t="s">
        <v>24</v>
      </c>
    </row>
    <row r="5" spans="1:3" x14ac:dyDescent="0.25">
      <c r="A5" t="s">
        <v>13</v>
      </c>
      <c r="B5" t="s">
        <v>18</v>
      </c>
      <c r="C5" t="s">
        <v>25</v>
      </c>
    </row>
    <row r="6" spans="1:3" x14ac:dyDescent="0.25">
      <c r="B6" t="s">
        <v>19</v>
      </c>
      <c r="C6" t="s">
        <v>26</v>
      </c>
    </row>
    <row r="7" spans="1:3" x14ac:dyDescent="0.25">
      <c r="B7" t="s">
        <v>20</v>
      </c>
      <c r="C7" t="s">
        <v>27</v>
      </c>
    </row>
    <row r="8" spans="1:3" x14ac:dyDescent="0.25">
      <c r="C8" t="s">
        <v>28</v>
      </c>
    </row>
    <row r="9" spans="1:3" x14ac:dyDescent="0.25">
      <c r="C9" t="s">
        <v>29</v>
      </c>
    </row>
    <row r="10" spans="1:3" x14ac:dyDescent="0.25">
      <c r="C10" t="s">
        <v>30</v>
      </c>
    </row>
    <row r="11" spans="1:3" x14ac:dyDescent="0.25">
      <c r="C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MBUYU, Omari</dc:creator>
  <cp:lastModifiedBy>MBUYU, Omari</cp:lastModifiedBy>
  <dcterms:created xsi:type="dcterms:W3CDTF">2026-04-20T23:44:17Z</dcterms:created>
  <dcterms:modified xsi:type="dcterms:W3CDTF">2026-04-21T13:36:43Z</dcterms:modified>
</cp:coreProperties>
</file>